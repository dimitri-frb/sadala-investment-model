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uganvillas" sheetId="1" r:id="rId5"/>
    <sheet state="hidden" name="El Cantal" sheetId="2" r:id="rId6"/>
    <sheet state="visible" name="Summary" sheetId="3" r:id="rId7"/>
    <sheet state="visible" name="Hypothesis" sheetId="4" r:id="rId8"/>
    <sheet state="visible" name="Comparables" sheetId="5" r:id="rId9"/>
    <sheet state="visible" name="Architecture" sheetId="6" r:id="rId10"/>
    <sheet state="visible" name="Project management" sheetId="7" r:id="rId11"/>
    <sheet state="hidden" name="Hypothesis_worst" sheetId="8" r:id="rId12"/>
    <sheet state="hidden" name="Hypothesis_best" sheetId="9" r:id="rId13"/>
  </sheets>
  <definedNames/>
  <calcPr/>
</workbook>
</file>

<file path=xl/sharedStrings.xml><?xml version="1.0" encoding="utf-8"?>
<sst xmlns="http://schemas.openxmlformats.org/spreadsheetml/2006/main" count="621" uniqueCount="277">
  <si>
    <t>Property</t>
  </si>
  <si>
    <t>Bungavillas</t>
  </si>
  <si>
    <t>Asset description</t>
  </si>
  <si>
    <t>Asking price (€)</t>
  </si>
  <si>
    <t>Offer price (€)</t>
  </si>
  <si>
    <t>Total size (sqm)</t>
  </si>
  <si>
    <t>Buildable area (sqm)</t>
  </si>
  <si>
    <t>€/bsqm</t>
  </si>
  <si>
    <t>Financing</t>
  </si>
  <si>
    <t>Hard cost loan disposal</t>
  </si>
  <si>
    <t>Loan interest</t>
  </si>
  <si>
    <t>Term</t>
  </si>
  <si>
    <t>According to construction timeline</t>
  </si>
  <si>
    <t>Waiver principal payment</t>
  </si>
  <si>
    <t>60 mo</t>
  </si>
  <si>
    <t>Principal payment term</t>
  </si>
  <si>
    <t>36 mo</t>
  </si>
  <si>
    <t>Exit date</t>
  </si>
  <si>
    <t>Costs</t>
  </si>
  <si>
    <t>/sqm</t>
  </si>
  <si>
    <t>total</t>
  </si>
  <si>
    <t>Asset acquisition</t>
  </si>
  <si>
    <t>Startup costs</t>
  </si>
  <si>
    <t>External urbanization</t>
  </si>
  <si>
    <t>Hard costs</t>
  </si>
  <si>
    <t>Soft costs</t>
  </si>
  <si>
    <t>Arquitecture costs</t>
  </si>
  <si>
    <t>% of hard costs</t>
  </si>
  <si>
    <t>Licence costs &amp; others</t>
  </si>
  <si>
    <t>Project management</t>
  </si>
  <si>
    <t>Capped</t>
  </si>
  <si>
    <t>TOTAL COSTS</t>
  </si>
  <si>
    <t>Financials</t>
  </si>
  <si>
    <t>Estimated sale price</t>
  </si>
  <si>
    <t>Margin</t>
  </si>
  <si>
    <t>% on cost</t>
  </si>
  <si>
    <t>No licence</t>
  </si>
  <si>
    <t>Licence obtained</t>
  </si>
  <si>
    <t>Construction started</t>
  </si>
  <si>
    <t>Construction finalized</t>
  </si>
  <si>
    <t>El Cantal, calle Leoni Benabu 41, 29018 Malaga</t>
  </si>
  <si>
    <t>Agency cost</t>
  </si>
  <si>
    <t>ITP</t>
  </si>
  <si>
    <t>% of asset costs</t>
  </si>
  <si>
    <t>Notary &amp; Registro</t>
  </si>
  <si>
    <t>Legal fees</t>
  </si>
  <si>
    <t>Other costs</t>
  </si>
  <si>
    <t>bank financing (approx 60-80%)</t>
  </si>
  <si>
    <t>Construction (all incl.)</t>
  </si>
  <si>
    <t>Insurance (seguro decenal)</t>
  </si>
  <si>
    <t>Municipal taxes</t>
  </si>
  <si>
    <t>Aparejador</t>
  </si>
  <si>
    <t>Provisions &amp; contingencies</t>
  </si>
  <si>
    <t>€/sqm</t>
  </si>
  <si>
    <t>margin</t>
  </si>
  <si>
    <t>sales commission</t>
  </si>
  <si>
    <t>sales commission €</t>
  </si>
  <si>
    <t>margin post commission</t>
  </si>
  <si>
    <t>margin post taxes</t>
  </si>
  <si>
    <t>est. timeline</t>
  </si>
  <si>
    <t>time since purchase</t>
  </si>
  <si>
    <t>Timing</t>
  </si>
  <si>
    <t>TRI</t>
  </si>
  <si>
    <t>No licence, only project</t>
  </si>
  <si>
    <t>Q1 2026</t>
  </si>
  <si>
    <t>approx 3 months</t>
  </si>
  <si>
    <t>Q4 2026</t>
  </si>
  <si>
    <t>approx 12 months</t>
  </si>
  <si>
    <t>Q1 2027</t>
  </si>
  <si>
    <t>approx 14 months</t>
  </si>
  <si>
    <t>Q2 2028</t>
  </si>
  <si>
    <t>approx 28-32 months</t>
  </si>
  <si>
    <t>Current</t>
  </si>
  <si>
    <t>Asset</t>
  </si>
  <si>
    <t>€ cost</t>
  </si>
  <si>
    <t>% of total cost</t>
  </si>
  <si>
    <t>Status</t>
  </si>
  <si>
    <t>Owner</t>
  </si>
  <si>
    <t>Amount paid €</t>
  </si>
  <si>
    <t>Share paid %</t>
  </si>
  <si>
    <t>Paid</t>
  </si>
  <si>
    <t>Kakarot</t>
  </si>
  <si>
    <t>Remaining</t>
  </si>
  <si>
    <t>-</t>
  </si>
  <si>
    <t>TBD</t>
  </si>
  <si>
    <t>Total</t>
  </si>
  <si>
    <t>sanity check</t>
  </si>
  <si>
    <t>total cost</t>
  </si>
  <si>
    <t>In payment</t>
  </si>
  <si>
    <t>hard costs</t>
  </si>
  <si>
    <t>paid Kakarot</t>
  </si>
  <si>
    <t>remaining</t>
  </si>
  <si>
    <t>Project name</t>
  </si>
  <si>
    <t>Villa Buganvilleas</t>
  </si>
  <si>
    <t>Adress</t>
  </si>
  <si>
    <t>Buganvillas 14, 29018 Malaga</t>
  </si>
  <si>
    <t>Hypothesis</t>
  </si>
  <si>
    <t>SIMPLIFIED P&amp;L</t>
  </si>
  <si>
    <t>€</t>
  </si>
  <si>
    <t>€ / sqm</t>
  </si>
  <si>
    <t>SELLING PRICE</t>
  </si>
  <si>
    <t>Property price</t>
  </si>
  <si>
    <t>Taxes &amp; commissions</t>
  </si>
  <si>
    <t>Set up costs</t>
  </si>
  <si>
    <t>Soft costs - Architecture, permits, etc</t>
  </si>
  <si>
    <t>Hard costs - Construction</t>
  </si>
  <si>
    <t>Hard costs - Contingencies</t>
  </si>
  <si>
    <t>SELLING COMMISSION</t>
  </si>
  <si>
    <t>FINANCING COSTS</t>
  </si>
  <si>
    <t>NET PROFIT BEFORE TAXES</t>
  </si>
  <si>
    <t>ITP devolution</t>
  </si>
  <si>
    <t>NET PROFIT AFTER TAXES</t>
  </si>
  <si>
    <t>Equity invested</t>
  </si>
  <si>
    <t>ROE</t>
  </si>
  <si>
    <t>Project duration</t>
  </si>
  <si>
    <t>IRR</t>
  </si>
  <si>
    <t>Base case</t>
  </si>
  <si>
    <t>ASSUMPTIONS</t>
  </si>
  <si>
    <t>SCENARII</t>
  </si>
  <si>
    <t>sale price / sqm</t>
  </si>
  <si>
    <t>PEM costs / sqm</t>
  </si>
  <si>
    <t>Tipologia edificacion</t>
  </si>
  <si>
    <t>Unifamiliar aislada UAS-4</t>
  </si>
  <si>
    <t>Worst case</t>
  </si>
  <si>
    <t>Superficie parcela adoptada</t>
  </si>
  <si>
    <t>m2</t>
  </si>
  <si>
    <t>Ratio edificabilidad</t>
  </si>
  <si>
    <t>Best case</t>
  </si>
  <si>
    <t>Superficie edificabilidad total</t>
  </si>
  <si>
    <t>Superficie construida total</t>
  </si>
  <si>
    <t>Construida sobre rasante</t>
  </si>
  <si>
    <t>Construida bajo rasante</t>
  </si>
  <si>
    <t>Exterior jardines y ZZCC urbanizacion</t>
  </si>
  <si>
    <t>SALES</t>
  </si>
  <si>
    <t>Revenue (excl. VAT)</t>
  </si>
  <si>
    <t>I. Villa sale (without licence)</t>
  </si>
  <si>
    <t>II. Villa sale (with licence)</t>
  </si>
  <si>
    <t>III. Villa sale (construction started)</t>
  </si>
  <si>
    <t>IV. Villa sale (construction finalized)</t>
  </si>
  <si>
    <t>COSTS</t>
  </si>
  <si>
    <t>Costs (excl. VAT)</t>
  </si>
  <si>
    <t>cost / sqm</t>
  </si>
  <si>
    <t>%</t>
  </si>
  <si>
    <t>Hard cost - land purchase</t>
  </si>
  <si>
    <t>Land asking price</t>
  </si>
  <si>
    <t>ITP (taxes)</t>
  </si>
  <si>
    <t>to be recuperated EOY</t>
  </si>
  <si>
    <t>Notary &amp; registro</t>
  </si>
  <si>
    <t>Sales commission</t>
  </si>
  <si>
    <t>Hard cost - setup costs</t>
  </si>
  <si>
    <t>Hard cost - urbanization costs</t>
  </si>
  <si>
    <t>Hard cost - construction costs</t>
  </si>
  <si>
    <t>PEM costs</t>
  </si>
  <si>
    <t>PEC costs</t>
  </si>
  <si>
    <t>Other costs (insurance, taxes)</t>
  </si>
  <si>
    <t>Hard cost - contingencies</t>
  </si>
  <si>
    <t>Soft cost - All costs</t>
  </si>
  <si>
    <t>Arquitecture - project</t>
  </si>
  <si>
    <t>Arquitecture - ejecucion</t>
  </si>
  <si>
    <t>Paisajismo</t>
  </si>
  <si>
    <t>GROSS PROFIT</t>
  </si>
  <si>
    <t>Gross profit (excl. taxes)</t>
  </si>
  <si>
    <t>Gross profit / revenue</t>
  </si>
  <si>
    <t>SUMMARY</t>
  </si>
  <si>
    <t>margin / sales</t>
  </si>
  <si>
    <t>Total revenue</t>
  </si>
  <si>
    <t>Total costs</t>
  </si>
  <si>
    <t>EBITDA</t>
  </si>
  <si>
    <t>Commercialization costs</t>
  </si>
  <si>
    <t>EBIT</t>
  </si>
  <si>
    <t>Financing costs</t>
  </si>
  <si>
    <t>EBT</t>
  </si>
  <si>
    <t>Impuesto de sociedades (IS)</t>
  </si>
  <si>
    <t>IS</t>
  </si>
  <si>
    <t>EAT</t>
  </si>
  <si>
    <t>ROI ANALYSIS</t>
  </si>
  <si>
    <t>Net profit (all included, for distribution)</t>
  </si>
  <si>
    <t>IRR ANALYSIS</t>
  </si>
  <si>
    <t>Revenue</t>
  </si>
  <si>
    <t>Total costs with financing &amp; commercialization</t>
  </si>
  <si>
    <t>Net profit (EAT)</t>
  </si>
  <si>
    <t>Equity return</t>
  </si>
  <si>
    <t>Profit after taxes</t>
  </si>
  <si>
    <t>ROI</t>
  </si>
  <si>
    <t>IRR (over 3 years)</t>
  </si>
  <si>
    <t>equity invested (land, fees, soft costs)</t>
  </si>
  <si>
    <t>loans to fund the construction</t>
  </si>
  <si>
    <t>equity repaid + profit after tax</t>
  </si>
  <si>
    <t>over 3 years</t>
  </si>
  <si>
    <t>over 4 years</t>
  </si>
  <si>
    <t>CAP TABLE</t>
  </si>
  <si>
    <t>€ invested</t>
  </si>
  <si>
    <t>€ currently invested</t>
  </si>
  <si>
    <t>% of profits</t>
  </si>
  <si>
    <t>€ net profit</t>
  </si>
  <si>
    <t>multiple</t>
  </si>
  <si>
    <t>Kakarot SL</t>
  </si>
  <si>
    <t>Inimex SL</t>
  </si>
  <si>
    <t>Villa El Cantal</t>
  </si>
  <si>
    <t>Leoni Benabu 41, 29018 Malaga</t>
  </si>
  <si>
    <t>Base</t>
  </si>
  <si>
    <t>coefficient</t>
  </si>
  <si>
    <t>MARKET COMPARABLES</t>
  </si>
  <si>
    <t>Location</t>
  </si>
  <si>
    <t>Year sold</t>
  </si>
  <si>
    <t>Sale price</t>
  </si>
  <si>
    <t>sqm built</t>
  </si>
  <si>
    <t>sales status</t>
  </si>
  <si>
    <t>localisation</t>
  </si>
  <si>
    <t>quality / premium</t>
  </si>
  <si>
    <t>real sale price / sqm</t>
  </si>
  <si>
    <t>reason</t>
  </si>
  <si>
    <t>link</t>
  </si>
  <si>
    <t>Pinares Hill #1</t>
  </si>
  <si>
    <t>Pinares de San Anton</t>
  </si>
  <si>
    <t>Reserved</t>
  </si>
  <si>
    <t>Same location</t>
  </si>
  <si>
    <t>https://www.idealista.com/inmueble/108642153/</t>
  </si>
  <si>
    <t>Pinares Hill #2</t>
  </si>
  <si>
    <t>https://resources.lucasfox.com/property/mlg52486-floorplans.pdf</t>
  </si>
  <si>
    <t>Pinares Hill #3</t>
  </si>
  <si>
    <t>For sale</t>
  </si>
  <si>
    <t>https://www.idealista.com/fr/inmueble/106417665/</t>
  </si>
  <si>
    <t>Pinares Hill #4</t>
  </si>
  <si>
    <t>https://www.idealista.com/fr/inmueble/105059159/</t>
  </si>
  <si>
    <t>Villa Los Alcornoques</t>
  </si>
  <si>
    <t>Benahavis</t>
  </si>
  <si>
    <t>Sold</t>
  </si>
  <si>
    <t>Marbella (+)</t>
  </si>
  <si>
    <t>https://flow81.com/project/villa-alcornoque/</t>
  </si>
  <si>
    <t>Villa Las Nubes</t>
  </si>
  <si>
    <t>Sotogrande</t>
  </si>
  <si>
    <t>https://flow81.com/project/villa-calle-grazalema/</t>
  </si>
  <si>
    <t>Villa en el Candado</t>
  </si>
  <si>
    <t>El Candado</t>
  </si>
  <si>
    <t>Construction in progress</t>
  </si>
  <si>
    <t>Close location</t>
  </si>
  <si>
    <t>https://www.lucasfox.es/comprar-vivienda/espana/costa-del-sol/malaga/pinares-de-san-anton-el-candado/casa-villa/mlg44689.html</t>
  </si>
  <si>
    <t>Leoni Benabu (neighbour)</t>
  </si>
  <si>
    <t>Pinares house</t>
  </si>
  <si>
    <t>https://www.idealista.com/fr/inmueble/107064042/</t>
  </si>
  <si>
    <t>https://www.idealista.com/fr/inmueble/108640971/</t>
  </si>
  <si>
    <t>https://www.idealista.com/fr/inmueble/109457637/</t>
  </si>
  <si>
    <t>https://www.idealista.com/fr/inmueble/82580369/</t>
  </si>
  <si>
    <t>Casa Farber</t>
  </si>
  <si>
    <t>average</t>
  </si>
  <si>
    <t>median</t>
  </si>
  <si>
    <t>highest point</t>
  </si>
  <si>
    <t>lowest point</t>
  </si>
  <si>
    <t>PROJECT MANAGEMENT</t>
  </si>
  <si>
    <t>Principio: en cuanto se tenga el proyecto de ejecucion</t>
  </si>
  <si>
    <t>Revision del proyecto de ejecucion</t>
  </si>
  <si>
    <t>Proceso de licitacion con las constructoras</t>
  </si>
  <si>
    <t>Ejecucion de la obra</t>
  </si>
  <si>
    <t>Final de la obra</t>
  </si>
  <si>
    <t>Postventa</t>
  </si>
  <si>
    <t>Worst</t>
  </si>
  <si>
    <t>Unifamiliar aislada UAS</t>
  </si>
  <si>
    <t>EXAMPLE</t>
  </si>
  <si>
    <t>Project management commission</t>
  </si>
  <si>
    <t>Fixed</t>
  </si>
  <si>
    <t>Hard cost - construction costs real</t>
  </si>
  <si>
    <t>Bonus - 15% of savings vs budget</t>
  </si>
  <si>
    <t>Max 20k€</t>
  </si>
  <si>
    <t>Bonus - 2k€ per month ahead of schedule</t>
  </si>
  <si>
    <t>Max 10k€</t>
  </si>
  <si>
    <t>Payment steps</t>
  </si>
  <si>
    <t>TOTAL COMMISSION</t>
  </si>
  <si>
    <t>Contract signed</t>
  </si>
  <si>
    <t>Permit approved</t>
  </si>
  <si>
    <t>Contractor selected</t>
  </si>
  <si>
    <t>50% construction progress</t>
  </si>
  <si>
    <t>Structure topped out</t>
  </si>
  <si>
    <t>Delivery</t>
  </si>
  <si>
    <t>ROI Analysis</t>
  </si>
  <si>
    <t>Net profit (all included)</t>
  </si>
  <si>
    <t>Best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</si>
</sst>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]#,##0"/>
    <numFmt numFmtId="165" formatCode="0.0%"/>
    <numFmt numFmtId="166" formatCode="#,##0&quot;€&quot;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sz val="8.0"/>
      <color theme="1"/>
      <name val="Arial"/>
      <scheme val="minor"/>
    </font>
    <font>
      <b/>
      <i/>
      <sz val="8.0"/>
      <color theme="1"/>
      <name val="Arial"/>
      <scheme val="minor"/>
    </font>
    <font>
      <i/>
      <sz val="8.0"/>
      <color theme="1"/>
      <name val="Arial"/>
    </font>
    <font>
      <color theme="1"/>
      <name val="Arial"/>
    </font>
    <font>
      <b/>
      <color rgb="FF000000"/>
      <name val="Calibri"/>
    </font>
    <font>
      <color rgb="FF000000"/>
      <name val="Calibri"/>
    </font>
    <font>
      <b/>
      <i/>
      <color rgb="FF000000"/>
      <name val="Calibri"/>
    </font>
    <font>
      <i/>
      <color rgb="FF000000"/>
      <name val="Calibri"/>
    </font>
    <font>
      <color theme="1"/>
      <name val="Calibri"/>
    </font>
    <font>
      <strike/>
      <color rgb="FF000000"/>
      <name val="Calibri"/>
    </font>
    <font>
      <b/>
      <color theme="1"/>
      <name val="Calibri"/>
    </font>
    <font>
      <i/>
      <color theme="1"/>
      <name val="Calibri"/>
    </font>
    <font>
      <i/>
      <sz val="8.0"/>
      <color theme="1"/>
      <name val="Calibri"/>
    </font>
    <font>
      <b/>
      <i/>
      <color theme="1"/>
      <name val="Calibri"/>
    </font>
    <font>
      <i/>
      <u/>
      <color rgb="FF000000"/>
      <name val="Calibri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</fills>
  <borders count="5">
    <border/>
    <border>
      <bottom style="hair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9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9" xfId="0" applyAlignment="1" applyFont="1" applyNumberFormat="1">
      <alignment readingOrder="0"/>
    </xf>
    <xf borderId="0" fillId="0" fontId="2" numFmtId="164" xfId="0" applyFont="1" applyNumberFormat="1"/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6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9" xfId="0" applyAlignment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9" xfId="0" applyAlignment="1" applyFont="1" applyNumberFormat="1">
      <alignment horizontal="right" vertical="bottom"/>
    </xf>
    <xf borderId="0" fillId="0" fontId="2" numFmtId="0" xfId="0" applyFont="1"/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5" xfId="0" applyFont="1" applyNumberFormat="1"/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 readingOrder="0"/>
    </xf>
    <xf borderId="0" fillId="0" fontId="3" numFmtId="164" xfId="0" applyAlignment="1" applyFont="1" applyNumberFormat="1">
      <alignment horizontal="left" readingOrder="0"/>
    </xf>
    <xf borderId="0" fillId="0" fontId="2" numFmtId="165" xfId="0" applyFont="1" applyNumberFormat="1"/>
    <xf borderId="0" fillId="3" fontId="7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4" fontId="7" numFmtId="0" xfId="0" applyAlignment="1" applyBorder="1" applyFill="1" applyFont="1">
      <alignment horizontal="right" readingOrder="0" shrinkToFit="0" vertical="bottom" wrapText="0"/>
    </xf>
    <xf borderId="1" fillId="4" fontId="9" numFmtId="0" xfId="0" applyAlignment="1" applyBorder="1" applyFont="1">
      <alignment horizontal="right" readingOrder="0" shrinkToFit="0" vertical="bottom" wrapText="0"/>
    </xf>
    <xf borderId="1" fillId="4" fontId="7" numFmtId="0" xfId="0" applyAlignment="1" applyBorder="1" applyFont="1">
      <alignment horizontal="left" readingOrder="0" shrinkToFit="0" vertical="bottom" wrapText="0"/>
    </xf>
    <xf borderId="1" fillId="4" fontId="7" numFmtId="166" xfId="0" applyAlignment="1" applyBorder="1" applyFont="1" applyNumberForma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166" xfId="0" applyAlignment="1" applyFont="1" applyNumberFormat="1">
      <alignment readingOrder="0" shrinkToFit="0" vertical="bottom" wrapText="0"/>
    </xf>
    <xf borderId="0" fillId="0" fontId="8" numFmtId="166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8" numFmtId="10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0" fontId="8" numFmtId="166" xfId="0" applyAlignment="1" applyBorder="1" applyFont="1" applyNumberForma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1" fillId="4" fontId="7" numFmtId="10" xfId="0" applyAlignment="1" applyBorder="1" applyFont="1" applyNumberFormat="1">
      <alignment shrinkToFit="0" vertical="bottom" wrapText="0"/>
    </xf>
    <xf borderId="1" fillId="4" fontId="7" numFmtId="0" xfId="0" applyAlignment="1" applyBorder="1" applyFont="1">
      <alignment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1" numFmtId="0" xfId="0" applyFont="1"/>
    <xf borderId="0" fillId="0" fontId="8" numFmtId="0" xfId="0" applyAlignment="1" applyFont="1">
      <alignment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1" fillId="4" fontId="9" numFmtId="0" xfId="0" applyAlignment="1" applyBorder="1" applyFont="1">
      <alignment horizontal="right" readingOrder="0" shrinkToFit="0" vertical="bottom" wrapText="0"/>
    </xf>
    <xf borderId="0" fillId="5" fontId="11" numFmtId="164" xfId="0" applyAlignment="1" applyFill="1" applyFont="1" applyNumberFormat="1">
      <alignment readingOrder="0"/>
    </xf>
    <xf borderId="0" fillId="0" fontId="10" numFmtId="0" xfId="0" applyAlignment="1" applyFont="1">
      <alignment horizontal="lef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0" fillId="0" fontId="10" numFmtId="10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1" fillId="4" fontId="7" numFmtId="0" xfId="0" applyAlignment="1" applyBorder="1" applyFon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166" xfId="0" applyAlignment="1" applyFont="1" applyNumberFormat="1">
      <alignment horizontal="right" readingOrder="0" shrinkToFit="0" vertical="bottom" wrapText="0"/>
    </xf>
    <xf borderId="0" fillId="0" fontId="8" numFmtId="166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13" numFmtId="0" xfId="0" applyFont="1"/>
    <xf borderId="0" fillId="0" fontId="8" numFmtId="10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/>
    </xf>
    <xf borderId="0" fillId="0" fontId="8" numFmtId="9" xfId="0" applyAlignment="1" applyFont="1" applyNumberFormat="1">
      <alignment horizontal="right" readingOrder="0" shrinkToFit="0" vertical="bottom" wrapText="0"/>
    </xf>
    <xf borderId="0" fillId="0" fontId="7" numFmtId="9" xfId="0" applyAlignment="1" applyFont="1" applyNumberFormat="1">
      <alignment horizontal="right" readingOrder="0" shrinkToFit="0" vertical="bottom" wrapText="0"/>
    </xf>
    <xf borderId="0" fillId="0" fontId="15" numFmtId="164" xfId="0" applyAlignment="1" applyFont="1" applyNumberFormat="1">
      <alignment readingOrder="0"/>
    </xf>
    <xf borderId="0" fillId="2" fontId="8" numFmtId="9" xfId="0" applyAlignment="1" applyFont="1" applyNumberFormat="1">
      <alignment horizontal="right" readingOrder="0" shrinkToFit="0" vertical="bottom" wrapText="0"/>
    </xf>
    <xf borderId="1" fillId="4" fontId="7" numFmtId="0" xfId="0" applyAlignment="1" applyBorder="1" applyFont="1">
      <alignment horizontal="left" readingOrder="0" shrinkToFit="0" vertical="bottom" wrapText="0"/>
    </xf>
    <xf borderId="1" fillId="4" fontId="7" numFmtId="166" xfId="0" applyAlignment="1" applyBorder="1" applyFont="1" applyNumberFormat="1">
      <alignment shrinkToFit="0" vertical="bottom" wrapText="0"/>
    </xf>
    <xf borderId="1" fillId="4" fontId="9" numFmtId="9" xfId="0" applyAlignment="1" applyBorder="1" applyFont="1" applyNumberFormat="1">
      <alignment horizontal="right" readingOrder="0" shrinkToFit="0" vertical="bottom" wrapText="0"/>
    </xf>
    <xf borderId="0" fillId="0" fontId="11" numFmtId="166" xfId="0" applyFont="1" applyNumberFormat="1"/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9" xfId="0" applyFont="1" applyNumberFormat="1"/>
    <xf borderId="0" fillId="0" fontId="13" numFmtId="0" xfId="0" applyAlignment="1" applyFont="1">
      <alignment readingOrder="0"/>
    </xf>
    <xf borderId="0" fillId="0" fontId="13" numFmtId="166" xfId="0" applyFont="1" applyNumberFormat="1"/>
    <xf borderId="0" fillId="0" fontId="13" numFmtId="9" xfId="0" applyFont="1" applyNumberFormat="1"/>
    <xf borderId="0" fillId="0" fontId="11" numFmtId="9" xfId="0" applyAlignment="1" applyFont="1" applyNumberFormat="1">
      <alignment readingOrder="0"/>
    </xf>
    <xf borderId="0" fillId="0" fontId="14" numFmtId="9" xfId="0" applyAlignment="1" applyFont="1" applyNumberFormat="1">
      <alignment readingOrder="0"/>
    </xf>
    <xf borderId="0" fillId="2" fontId="11" numFmtId="166" xfId="0" applyFont="1" applyNumberFormat="1"/>
    <xf borderId="0" fillId="2" fontId="13" numFmtId="10" xfId="0" applyFont="1" applyNumberFormat="1"/>
    <xf borderId="0" fillId="0" fontId="13" numFmtId="10" xfId="0" applyFont="1" applyNumberFormat="1"/>
    <xf borderId="0" fillId="2" fontId="13" numFmtId="9" xfId="0" applyFont="1" applyNumberFormat="1"/>
    <xf borderId="0" fillId="0" fontId="11" numFmtId="164" xfId="0" applyFont="1" applyNumberFormat="1"/>
    <xf borderId="0" fillId="0" fontId="11" numFmtId="164" xfId="0" applyAlignment="1" applyFont="1" applyNumberFormat="1">
      <alignment readingOrder="0"/>
    </xf>
    <xf borderId="0" fillId="0" fontId="14" numFmtId="0" xfId="0" applyAlignment="1" applyFont="1">
      <alignment horizontal="center" readingOrder="0"/>
    </xf>
    <xf borderId="0" fillId="3" fontId="13" numFmtId="0" xfId="0" applyAlignment="1" applyFont="1">
      <alignment readingOrder="0" vertical="bottom"/>
    </xf>
    <xf borderId="1" fillId="4" fontId="13" numFmtId="0" xfId="0" applyAlignment="1" applyBorder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1" numFmtId="166" xfId="0" applyAlignment="1" applyFont="1" applyNumberFormat="1">
      <alignment horizontal="right" vertical="bottom"/>
    </xf>
    <xf borderId="0" fillId="0" fontId="14" numFmtId="9" xfId="0" applyAlignment="1" applyFont="1" applyNumberFormat="1">
      <alignment vertical="bottom"/>
    </xf>
    <xf borderId="0" fillId="0" fontId="11" numFmtId="166" xfId="0" applyAlignment="1" applyFont="1" applyNumberFormat="1">
      <alignment vertical="bottom"/>
    </xf>
    <xf borderId="0" fillId="0" fontId="11" numFmtId="2" xfId="0" applyFont="1" applyNumberFormat="1"/>
    <xf borderId="0" fillId="0" fontId="11" numFmtId="166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3" numFmtId="166" xfId="0" applyAlignment="1" applyFont="1" applyNumberFormat="1">
      <alignment vertical="bottom"/>
    </xf>
    <xf borderId="0" fillId="0" fontId="16" numFmtId="10" xfId="0" applyAlignment="1" applyFont="1" applyNumberFormat="1">
      <alignment readingOrder="0" vertical="bottom"/>
    </xf>
    <xf borderId="0" fillId="0" fontId="11" numFmtId="0" xfId="0" applyAlignment="1" applyFont="1">
      <alignment vertical="bottom"/>
    </xf>
    <xf borderId="0" fillId="3" fontId="7" numFmtId="0" xfId="0" applyAlignment="1" applyFont="1">
      <alignment horizontal="center" readingOrder="0" shrinkToFit="0" vertical="bottom" wrapText="0"/>
    </xf>
    <xf borderId="0" fillId="4" fontId="9" numFmtId="0" xfId="0" applyAlignment="1" applyFont="1">
      <alignment horizontal="righ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10" numFmtId="9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0" fontId="10" numFmtId="2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center" wrapText="0"/>
    </xf>
    <xf borderId="0" fillId="0" fontId="8" numFmtId="166" xfId="0" applyAlignment="1" applyFont="1" applyNumberFormat="1">
      <alignment readingOrder="0" shrinkToFit="0" vertical="center" wrapText="0"/>
    </xf>
    <xf borderId="0" fillId="0" fontId="8" numFmtId="166" xfId="0" applyAlignment="1" applyFont="1" applyNumberFormat="1">
      <alignment horizontal="right" readingOrder="0" shrinkToFit="0" vertical="center" wrapText="0"/>
    </xf>
    <xf borderId="0" fillId="0" fontId="8" numFmtId="9" xfId="0" applyAlignment="1" applyFont="1" applyNumberFormat="1">
      <alignment horizontal="right" readingOrder="0" shrinkToFit="0" vertical="center" wrapText="0"/>
    </xf>
    <xf borderId="0" fillId="0" fontId="10" numFmtId="10" xfId="0" applyAlignment="1" applyFont="1" applyNumberFormat="1">
      <alignment horizontal="righ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0" fillId="5" fontId="8" numFmtId="166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166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9" xfId="0" applyAlignment="1" applyFont="1" applyNumberFormat="1">
      <alignment horizontal="right"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0" fontId="7" numFmtId="166" xfId="0" applyAlignment="1" applyBorder="1" applyFont="1" applyNumberFormat="1">
      <alignment horizontal="right" readingOrder="0" shrinkToFit="0" vertical="bottom" wrapText="0"/>
    </xf>
    <xf borderId="0" fillId="0" fontId="8" numFmtId="9" xfId="0" applyAlignment="1" applyFont="1" applyNumberFormat="1">
      <alignment horizontal="right" readingOrder="0" shrinkToFit="0" vertical="bottom" wrapText="0"/>
    </xf>
    <xf borderId="1" fillId="4" fontId="9" numFmtId="9" xfId="0" applyAlignment="1" applyBorder="1" applyFont="1" applyNumberFormat="1">
      <alignment horizontal="right" readingOrder="0" shrinkToFit="0" vertical="bottom" wrapText="0"/>
    </xf>
    <xf borderId="0" fillId="0" fontId="1" numFmtId="0" xfId="0" applyFont="1"/>
    <xf borderId="0" fillId="0" fontId="1" numFmtId="166" xfId="0" applyFont="1" applyNumberFormat="1"/>
    <xf borderId="0" fillId="0" fontId="3" numFmtId="0" xfId="0" applyFont="1"/>
    <xf borderId="0" fillId="0" fontId="1" numFmtId="9" xfId="0" applyFont="1" applyNumberFormat="1"/>
    <xf borderId="0" fillId="0" fontId="2" numFmtId="166" xfId="0" applyFont="1" applyNumberFormat="1"/>
    <xf borderId="0" fillId="0" fontId="2" numFmtId="9" xfId="0" applyFont="1" applyNumberFormat="1"/>
    <xf borderId="0" fillId="0" fontId="18" numFmtId="9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2" numFmtId="10" xfId="0" applyFont="1" applyNumberFormat="1"/>
    <xf borderId="0" fillId="5" fontId="11" numFmtId="166" xfId="0" applyAlignment="1" applyFont="1" applyNumberFormat="1">
      <alignment horizontal="right" vertical="bottom"/>
    </xf>
    <xf borderId="0" fillId="5" fontId="11" numFmtId="166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dealista.com/inmueble/108642153/" TargetMode="External"/><Relationship Id="rId2" Type="http://schemas.openxmlformats.org/officeDocument/2006/relationships/hyperlink" Target="https://resources.lucasfox.com/property/mlg52486-floorplans.pdf" TargetMode="External"/><Relationship Id="rId3" Type="http://schemas.openxmlformats.org/officeDocument/2006/relationships/hyperlink" Target="https://www.idealista.com/fr/inmueble/106417665/" TargetMode="External"/><Relationship Id="rId4" Type="http://schemas.openxmlformats.org/officeDocument/2006/relationships/hyperlink" Target="https://www.idealista.com/fr/inmueble/105059159/" TargetMode="External"/><Relationship Id="rId11" Type="http://schemas.openxmlformats.org/officeDocument/2006/relationships/hyperlink" Target="https://www.idealista.com/fr/inmueble/82580369/" TargetMode="External"/><Relationship Id="rId10" Type="http://schemas.openxmlformats.org/officeDocument/2006/relationships/hyperlink" Target="https://www.idealista.com/fr/inmueble/109457637/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s://www.idealista.com/fr/inmueble/108640971/" TargetMode="External"/><Relationship Id="rId5" Type="http://schemas.openxmlformats.org/officeDocument/2006/relationships/hyperlink" Target="https://flow81.com/project/villa-alcornoque/" TargetMode="External"/><Relationship Id="rId6" Type="http://schemas.openxmlformats.org/officeDocument/2006/relationships/hyperlink" Target="https://flow81.com/project/villa-calle-grazalema/" TargetMode="External"/><Relationship Id="rId7" Type="http://schemas.openxmlformats.org/officeDocument/2006/relationships/hyperlink" Target="https://www.lucasfox.es/comprar-vivienda/espana/costa-del-sol/malaga/pinares-de-san-anton-el-candado/casa-villa/mlg44689.html" TargetMode="External"/><Relationship Id="rId8" Type="http://schemas.openxmlformats.org/officeDocument/2006/relationships/hyperlink" Target="https://www.idealista.com/fr/inmueble/107064042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1" t="s">
        <v>1</v>
      </c>
    </row>
    <row r="2">
      <c r="A2" s="1"/>
    </row>
    <row r="3">
      <c r="A3" s="2" t="s">
        <v>2</v>
      </c>
    </row>
    <row r="4">
      <c r="A4" s="1" t="s">
        <v>3</v>
      </c>
      <c r="B4" s="3">
        <v>680000.0</v>
      </c>
    </row>
    <row r="5">
      <c r="A5" s="1" t="s">
        <v>4</v>
      </c>
      <c r="B5" s="3">
        <v>680000.0</v>
      </c>
    </row>
    <row r="6">
      <c r="A6" s="1" t="s">
        <v>5</v>
      </c>
      <c r="B6" s="1">
        <v>1127.0</v>
      </c>
    </row>
    <row r="7">
      <c r="A7" s="1" t="s">
        <v>6</v>
      </c>
      <c r="B7" s="1">
        <v>527.0</v>
      </c>
    </row>
    <row r="8">
      <c r="A8" s="1" t="s">
        <v>7</v>
      </c>
      <c r="B8" s="4">
        <f>B5/B7</f>
        <v>1290.322581</v>
      </c>
    </row>
    <row r="10">
      <c r="A10" s="2" t="s">
        <v>8</v>
      </c>
    </row>
    <row r="11">
      <c r="A11" s="1" t="s">
        <v>9</v>
      </c>
      <c r="B11" s="5">
        <v>1.0</v>
      </c>
    </row>
    <row r="12">
      <c r="A12" s="1" t="s">
        <v>10</v>
      </c>
      <c r="B12" s="5">
        <v>0.06</v>
      </c>
    </row>
    <row r="13">
      <c r="A13" s="1" t="s">
        <v>11</v>
      </c>
      <c r="B13" s="1" t="s">
        <v>12</v>
      </c>
    </row>
    <row r="14">
      <c r="A14" s="1" t="s">
        <v>13</v>
      </c>
      <c r="B14" s="6" t="s">
        <v>14</v>
      </c>
    </row>
    <row r="15">
      <c r="A15" s="1" t="s">
        <v>15</v>
      </c>
      <c r="B15" s="6" t="s">
        <v>16</v>
      </c>
    </row>
    <row r="16">
      <c r="A16" s="1" t="s">
        <v>17</v>
      </c>
      <c r="B16" s="6">
        <v>36.0</v>
      </c>
    </row>
    <row r="17">
      <c r="B17" s="7"/>
    </row>
    <row r="18">
      <c r="A18" s="2" t="s">
        <v>18</v>
      </c>
      <c r="B18" s="1" t="s">
        <v>19</v>
      </c>
      <c r="C18" s="1" t="s">
        <v>20</v>
      </c>
    </row>
    <row r="19">
      <c r="A19" s="1" t="s">
        <v>21</v>
      </c>
      <c r="B19" s="3">
        <f>B8</f>
        <v>1290.322581</v>
      </c>
      <c r="C19" s="4">
        <f t="shared" ref="C19:C22" si="1">B19*$B$7</f>
        <v>680000</v>
      </c>
    </row>
    <row r="20">
      <c r="A20" s="1" t="s">
        <v>22</v>
      </c>
      <c r="B20" s="3">
        <v>400.0</v>
      </c>
      <c r="C20" s="4">
        <f t="shared" si="1"/>
        <v>210800</v>
      </c>
    </row>
    <row r="21">
      <c r="A21" s="1" t="s">
        <v>23</v>
      </c>
      <c r="B21" s="3">
        <v>0.0</v>
      </c>
      <c r="C21" s="4">
        <f t="shared" si="1"/>
        <v>0</v>
      </c>
    </row>
    <row r="22">
      <c r="A22" s="1" t="s">
        <v>24</v>
      </c>
      <c r="B22" s="3">
        <v>2500.0</v>
      </c>
      <c r="C22" s="4">
        <f t="shared" si="1"/>
        <v>1317500</v>
      </c>
    </row>
    <row r="23">
      <c r="A23" s="1" t="s">
        <v>25</v>
      </c>
      <c r="B23" s="3">
        <f>C23/B7</f>
        <v>450</v>
      </c>
      <c r="C23" s="4">
        <f>sum(C24:C26)</f>
        <v>237150</v>
      </c>
    </row>
    <row r="24">
      <c r="A24" s="8" t="s">
        <v>26</v>
      </c>
      <c r="B24" s="9"/>
      <c r="C24" s="10">
        <f t="shared" ref="C24:C26" si="2">$C$22*D24</f>
        <v>131750</v>
      </c>
      <c r="D24" s="11">
        <v>0.1</v>
      </c>
      <c r="E24" s="8" t="s">
        <v>27</v>
      </c>
    </row>
    <row r="25">
      <c r="A25" s="8" t="s">
        <v>28</v>
      </c>
      <c r="B25" s="9"/>
      <c r="C25" s="10">
        <f t="shared" si="2"/>
        <v>39525</v>
      </c>
      <c r="D25" s="11">
        <v>0.03</v>
      </c>
      <c r="E25" s="8" t="s">
        <v>27</v>
      </c>
    </row>
    <row r="26">
      <c r="A26" s="8" t="s">
        <v>29</v>
      </c>
      <c r="B26" s="9"/>
      <c r="C26" s="10">
        <f t="shared" si="2"/>
        <v>65875</v>
      </c>
      <c r="D26" s="11">
        <v>0.05</v>
      </c>
      <c r="E26" s="8" t="s">
        <v>27</v>
      </c>
      <c r="F26" s="2" t="s">
        <v>30</v>
      </c>
    </row>
    <row r="27">
      <c r="A27" s="2" t="s">
        <v>31</v>
      </c>
      <c r="B27" s="12">
        <f>sum(B19:B23)*B7</f>
        <v>2445450</v>
      </c>
      <c r="C27" s="12">
        <f>sum(C19:C23)</f>
        <v>2445450</v>
      </c>
    </row>
    <row r="29">
      <c r="A29" s="2" t="s">
        <v>32</v>
      </c>
    </row>
    <row r="30">
      <c r="A30" s="1" t="s">
        <v>33</v>
      </c>
      <c r="B30" s="1" t="s">
        <v>19</v>
      </c>
      <c r="C30" s="1" t="s">
        <v>20</v>
      </c>
      <c r="D30" s="1" t="s">
        <v>34</v>
      </c>
      <c r="E30" s="2" t="s">
        <v>35</v>
      </c>
    </row>
    <row r="31">
      <c r="A31" s="8" t="s">
        <v>36</v>
      </c>
      <c r="B31" s="9">
        <v>6000.0</v>
      </c>
      <c r="C31" s="10">
        <f t="shared" ref="C31:C34" si="3">B31*$B$7</f>
        <v>3162000</v>
      </c>
      <c r="D31" s="10">
        <f t="shared" ref="D31:D34" si="4">C31-$C$27</f>
        <v>716550</v>
      </c>
      <c r="E31" s="13">
        <f t="shared" ref="E31:E34" si="5">D31/$C$27</f>
        <v>0.2930135558</v>
      </c>
    </row>
    <row r="32">
      <c r="A32" s="8" t="s">
        <v>37</v>
      </c>
      <c r="B32" s="9">
        <v>6500.0</v>
      </c>
      <c r="C32" s="10">
        <f t="shared" si="3"/>
        <v>3425500</v>
      </c>
      <c r="D32" s="10">
        <f t="shared" si="4"/>
        <v>980050</v>
      </c>
      <c r="E32" s="13">
        <f t="shared" si="5"/>
        <v>0.4007646854</v>
      </c>
    </row>
    <row r="33">
      <c r="A33" s="8" t="s">
        <v>38</v>
      </c>
      <c r="B33" s="9">
        <v>7000.0</v>
      </c>
      <c r="C33" s="10">
        <f t="shared" si="3"/>
        <v>3689000</v>
      </c>
      <c r="D33" s="10">
        <f t="shared" si="4"/>
        <v>1243550</v>
      </c>
      <c r="E33" s="13">
        <f t="shared" si="5"/>
        <v>0.5085158151</v>
      </c>
    </row>
    <row r="34">
      <c r="A34" s="8" t="s">
        <v>39</v>
      </c>
      <c r="B34" s="9">
        <v>7500.0</v>
      </c>
      <c r="C34" s="10">
        <f t="shared" si="3"/>
        <v>3952500</v>
      </c>
      <c r="D34" s="10">
        <f t="shared" si="4"/>
        <v>1507050</v>
      </c>
      <c r="E34" s="13">
        <f t="shared" si="5"/>
        <v>0.6162669447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6" max="6" width="13.25"/>
    <col customWidth="1" min="7" max="9" width="16.75"/>
    <col customWidth="1" min="10" max="10" width="10.25"/>
    <col customWidth="1" min="11" max="14" width="16.75"/>
  </cols>
  <sheetData>
    <row r="1">
      <c r="A1" s="2" t="s">
        <v>0</v>
      </c>
      <c r="B1" s="1" t="s">
        <v>40</v>
      </c>
    </row>
    <row r="2">
      <c r="A2" s="1"/>
    </row>
    <row r="3">
      <c r="A3" s="2" t="s">
        <v>2</v>
      </c>
    </row>
    <row r="4">
      <c r="A4" s="1" t="s">
        <v>3</v>
      </c>
      <c r="B4" s="3">
        <v>540000.0</v>
      </c>
    </row>
    <row r="5">
      <c r="A5" s="1" t="s">
        <v>4</v>
      </c>
      <c r="B5" s="3">
        <f>B4</f>
        <v>540000</v>
      </c>
    </row>
    <row r="6">
      <c r="A6" s="1" t="s">
        <v>5</v>
      </c>
      <c r="B6" s="1">
        <v>1006.0</v>
      </c>
    </row>
    <row r="7">
      <c r="A7" s="1" t="s">
        <v>6</v>
      </c>
      <c r="B7" s="1">
        <v>500.0</v>
      </c>
    </row>
    <row r="8">
      <c r="A8" s="1" t="s">
        <v>7</v>
      </c>
      <c r="B8" s="4">
        <f>B5/B7</f>
        <v>1080</v>
      </c>
    </row>
    <row r="10">
      <c r="A10" s="2" t="s">
        <v>8</v>
      </c>
    </row>
    <row r="11">
      <c r="A11" s="1" t="s">
        <v>9</v>
      </c>
      <c r="B11" s="5">
        <v>1.0</v>
      </c>
    </row>
    <row r="12">
      <c r="A12" s="1" t="s">
        <v>10</v>
      </c>
      <c r="B12" s="5">
        <v>0.06</v>
      </c>
    </row>
    <row r="13">
      <c r="A13" s="1" t="s">
        <v>11</v>
      </c>
      <c r="B13" s="1" t="s">
        <v>12</v>
      </c>
    </row>
    <row r="14">
      <c r="A14" s="1" t="s">
        <v>13</v>
      </c>
      <c r="B14" s="6" t="s">
        <v>14</v>
      </c>
    </row>
    <row r="15">
      <c r="A15" s="1" t="s">
        <v>15</v>
      </c>
      <c r="B15" s="6" t="s">
        <v>16</v>
      </c>
    </row>
    <row r="16">
      <c r="A16" s="1" t="s">
        <v>17</v>
      </c>
      <c r="B16" s="6">
        <v>36.0</v>
      </c>
    </row>
    <row r="17">
      <c r="B17" s="7"/>
    </row>
    <row r="18">
      <c r="A18" s="2" t="s">
        <v>18</v>
      </c>
      <c r="B18" s="1" t="s">
        <v>19</v>
      </c>
      <c r="C18" s="1" t="s">
        <v>20</v>
      </c>
    </row>
    <row r="19">
      <c r="A19" s="1" t="s">
        <v>21</v>
      </c>
      <c r="B19" s="3">
        <f>B8</f>
        <v>1080</v>
      </c>
      <c r="C19" s="4">
        <f>B19*$B$7</f>
        <v>540000</v>
      </c>
    </row>
    <row r="20">
      <c r="A20" s="1" t="s">
        <v>41</v>
      </c>
      <c r="B20" s="5">
        <v>0.037</v>
      </c>
      <c r="C20" s="4">
        <f>B20*C19</f>
        <v>19980</v>
      </c>
    </row>
    <row r="21">
      <c r="A21" s="1" t="s">
        <v>22</v>
      </c>
      <c r="B21" s="3">
        <f>C21/B7</f>
        <v>198.8544</v>
      </c>
      <c r="C21" s="4">
        <f>SUM(C22:C25)</f>
        <v>99427.2</v>
      </c>
    </row>
    <row r="22">
      <c r="A22" s="14" t="s">
        <v>42</v>
      </c>
      <c r="B22" s="15"/>
      <c r="C22" s="16">
        <f>C19*D22</f>
        <v>37800</v>
      </c>
      <c r="D22" s="17">
        <v>0.07</v>
      </c>
      <c r="E22" s="8" t="s">
        <v>43</v>
      </c>
      <c r="F22" s="18"/>
      <c r="G22" s="18"/>
      <c r="H22" s="18"/>
      <c r="I22" s="18"/>
      <c r="J22" s="18"/>
      <c r="K22" s="18"/>
      <c r="L22" s="18"/>
      <c r="M22" s="18"/>
      <c r="N22" s="18"/>
    </row>
    <row r="23">
      <c r="A23" s="14" t="s">
        <v>44</v>
      </c>
      <c r="B23" s="15"/>
      <c r="C23" s="19">
        <v>2400.0</v>
      </c>
      <c r="D23" s="20">
        <f>C23/C19</f>
        <v>0.004444444444</v>
      </c>
      <c r="E23" s="8" t="s">
        <v>43</v>
      </c>
      <c r="F23" s="18"/>
      <c r="G23" s="18"/>
      <c r="H23" s="18"/>
      <c r="I23" s="18"/>
      <c r="J23" s="18"/>
      <c r="K23" s="18"/>
      <c r="L23" s="18"/>
      <c r="M23" s="18"/>
      <c r="N23" s="18"/>
    </row>
    <row r="24">
      <c r="A24" s="14" t="s">
        <v>45</v>
      </c>
      <c r="B24" s="15"/>
      <c r="C24" s="19">
        <f>D24*C19*1.21</f>
        <v>5227.2</v>
      </c>
      <c r="D24" s="17">
        <v>0.008</v>
      </c>
      <c r="E24" s="8" t="s">
        <v>43</v>
      </c>
      <c r="F24" s="18"/>
      <c r="G24" s="18"/>
      <c r="H24" s="18"/>
      <c r="I24" s="18"/>
      <c r="J24" s="18"/>
      <c r="K24" s="18"/>
      <c r="L24" s="18"/>
      <c r="M24" s="18"/>
      <c r="N24" s="18"/>
    </row>
    <row r="25">
      <c r="A25" s="14" t="s">
        <v>46</v>
      </c>
      <c r="B25" s="15"/>
      <c r="C25" s="16">
        <f>C19*D25</f>
        <v>54000</v>
      </c>
      <c r="D25" s="17">
        <v>0.1</v>
      </c>
      <c r="E25" s="8" t="s">
        <v>43</v>
      </c>
      <c r="F25" s="18"/>
      <c r="G25" s="18"/>
      <c r="H25" s="18"/>
      <c r="I25" s="18"/>
      <c r="J25" s="18"/>
      <c r="K25" s="18"/>
      <c r="L25" s="18"/>
      <c r="M25" s="18"/>
      <c r="N25" s="18"/>
    </row>
    <row r="26">
      <c r="A26" s="1" t="s">
        <v>24</v>
      </c>
      <c r="B26" s="3">
        <v>2500.0</v>
      </c>
      <c r="C26" s="4">
        <f>sum(C27:C29)</f>
        <v>1310000</v>
      </c>
      <c r="D26" s="8" t="s">
        <v>47</v>
      </c>
    </row>
    <row r="27">
      <c r="A27" s="14" t="s">
        <v>48</v>
      </c>
      <c r="B27" s="3">
        <v>2500.0</v>
      </c>
      <c r="C27" s="4">
        <f>B27*B7</f>
        <v>1250000</v>
      </c>
      <c r="E27" s="8" t="s">
        <v>27</v>
      </c>
    </row>
    <row r="28">
      <c r="A28" s="14" t="s">
        <v>49</v>
      </c>
      <c r="B28" s="3"/>
      <c r="C28" s="4">
        <f t="shared" ref="C28:C29" si="1">D28*$C$27</f>
        <v>10000</v>
      </c>
      <c r="D28" s="17">
        <v>0.008</v>
      </c>
      <c r="E28" s="8" t="s">
        <v>27</v>
      </c>
    </row>
    <row r="29">
      <c r="A29" s="14" t="s">
        <v>50</v>
      </c>
      <c r="B29" s="3"/>
      <c r="C29" s="4">
        <f t="shared" si="1"/>
        <v>50000</v>
      </c>
      <c r="D29" s="17">
        <v>0.04</v>
      </c>
      <c r="E29" s="8" t="s">
        <v>27</v>
      </c>
    </row>
    <row r="30">
      <c r="A30" s="1" t="s">
        <v>25</v>
      </c>
      <c r="B30" s="3">
        <f>C30/B7</f>
        <v>550.2</v>
      </c>
      <c r="C30" s="4">
        <f>sum(C31:C34)</f>
        <v>275100</v>
      </c>
    </row>
    <row r="31">
      <c r="A31" s="8" t="s">
        <v>26</v>
      </c>
      <c r="B31" s="9"/>
      <c r="C31" s="10">
        <f t="shared" ref="C31:C34" si="2">$C$26*D31</f>
        <v>131000</v>
      </c>
      <c r="D31" s="11">
        <v>0.1</v>
      </c>
      <c r="E31" s="8" t="s">
        <v>27</v>
      </c>
    </row>
    <row r="32">
      <c r="A32" s="8" t="s">
        <v>51</v>
      </c>
      <c r="B32" s="9"/>
      <c r="C32" s="10">
        <f t="shared" si="2"/>
        <v>65500</v>
      </c>
      <c r="D32" s="11">
        <v>0.05</v>
      </c>
      <c r="E32" s="8" t="s">
        <v>27</v>
      </c>
    </row>
    <row r="33">
      <c r="A33" s="8" t="s">
        <v>28</v>
      </c>
      <c r="B33" s="9"/>
      <c r="C33" s="10">
        <f t="shared" si="2"/>
        <v>39300</v>
      </c>
      <c r="D33" s="11">
        <v>0.03</v>
      </c>
      <c r="E33" s="8" t="s">
        <v>27</v>
      </c>
    </row>
    <row r="34">
      <c r="A34" s="8" t="s">
        <v>29</v>
      </c>
      <c r="B34" s="9"/>
      <c r="C34" s="10">
        <f t="shared" si="2"/>
        <v>39300</v>
      </c>
      <c r="D34" s="11">
        <v>0.03</v>
      </c>
      <c r="E34" s="8" t="s">
        <v>27</v>
      </c>
    </row>
    <row r="35">
      <c r="A35" s="1" t="s">
        <v>52</v>
      </c>
      <c r="B35" s="3"/>
      <c r="C35" s="4">
        <f>D35*C26</f>
        <v>131000</v>
      </c>
      <c r="D35" s="11">
        <v>0.1</v>
      </c>
      <c r="E35" s="8" t="s">
        <v>27</v>
      </c>
    </row>
    <row r="36">
      <c r="A36" s="2" t="s">
        <v>31</v>
      </c>
      <c r="B36" s="21"/>
      <c r="C36" s="12">
        <f>C19+C20+C21+C35+C26+C30</f>
        <v>2375507.2</v>
      </c>
    </row>
    <row r="38">
      <c r="A38" s="2" t="s">
        <v>32</v>
      </c>
      <c r="H38" s="13">
        <v>0.21</v>
      </c>
      <c r="I38" s="13"/>
    </row>
    <row r="39">
      <c r="A39" s="22" t="s">
        <v>33</v>
      </c>
      <c r="B39" s="22" t="s">
        <v>53</v>
      </c>
      <c r="C39" s="22" t="s">
        <v>20</v>
      </c>
      <c r="D39" s="22" t="s">
        <v>54</v>
      </c>
      <c r="E39" s="22" t="s">
        <v>55</v>
      </c>
      <c r="F39" s="22" t="s">
        <v>56</v>
      </c>
      <c r="G39" s="22" t="s">
        <v>57</v>
      </c>
      <c r="H39" s="22" t="s">
        <v>58</v>
      </c>
      <c r="I39" s="23" t="s">
        <v>35</v>
      </c>
      <c r="J39" s="22" t="s">
        <v>59</v>
      </c>
      <c r="K39" s="22" t="s">
        <v>60</v>
      </c>
      <c r="L39" s="22" t="s">
        <v>61</v>
      </c>
      <c r="M39" s="22" t="s">
        <v>62</v>
      </c>
    </row>
    <row r="40">
      <c r="A40" s="24" t="s">
        <v>63</v>
      </c>
      <c r="B40" s="9">
        <v>5500.0</v>
      </c>
      <c r="C40" s="10">
        <f t="shared" ref="C40:C43" si="3">B40*$B$7</f>
        <v>2750000</v>
      </c>
      <c r="D40" s="10">
        <f t="shared" ref="D40:D43" si="4">C40-$C$36</f>
        <v>374492.8</v>
      </c>
      <c r="E40" s="13">
        <v>0.05</v>
      </c>
      <c r="F40" s="4">
        <f t="shared" ref="F40:F43" si="5">C40*E40</f>
        <v>137500</v>
      </c>
      <c r="G40" s="4">
        <f t="shared" ref="G40:G43" si="6">D40-F40</f>
        <v>236992.8</v>
      </c>
      <c r="H40" s="4">
        <f t="shared" ref="H40:H43" si="7">G40*(1-$H$38)</f>
        <v>187224.312</v>
      </c>
      <c r="I40" s="13">
        <f t="shared" ref="I40:I43" si="8">H40/$C$36</f>
        <v>0.07881445781</v>
      </c>
      <c r="J40" s="8" t="s">
        <v>64</v>
      </c>
      <c r="K40" s="8" t="s">
        <v>65</v>
      </c>
      <c r="L40" s="8">
        <v>3.0</v>
      </c>
      <c r="M40" s="8"/>
    </row>
    <row r="41">
      <c r="A41" s="24" t="s">
        <v>37</v>
      </c>
      <c r="B41" s="9">
        <v>6500.0</v>
      </c>
      <c r="C41" s="10">
        <f t="shared" si="3"/>
        <v>3250000</v>
      </c>
      <c r="D41" s="10">
        <f t="shared" si="4"/>
        <v>874492.8</v>
      </c>
      <c r="E41" s="13">
        <v>0.05</v>
      </c>
      <c r="F41" s="4">
        <f t="shared" si="5"/>
        <v>162500</v>
      </c>
      <c r="G41" s="4">
        <f t="shared" si="6"/>
        <v>711992.8</v>
      </c>
      <c r="H41" s="4">
        <f t="shared" si="7"/>
        <v>562474.312</v>
      </c>
      <c r="I41" s="13">
        <f t="shared" si="8"/>
        <v>0.2367807229</v>
      </c>
      <c r="J41" s="8" t="s">
        <v>66</v>
      </c>
      <c r="K41" s="8" t="s">
        <v>67</v>
      </c>
      <c r="L41" s="8">
        <v>12.0</v>
      </c>
      <c r="M41" s="8"/>
    </row>
    <row r="42">
      <c r="A42" s="8" t="s">
        <v>38</v>
      </c>
      <c r="B42" s="9">
        <v>7000.0</v>
      </c>
      <c r="C42" s="10">
        <f t="shared" si="3"/>
        <v>3500000</v>
      </c>
      <c r="D42" s="10">
        <f t="shared" si="4"/>
        <v>1124492.8</v>
      </c>
      <c r="E42" s="13">
        <v>0.05</v>
      </c>
      <c r="F42" s="4">
        <f t="shared" si="5"/>
        <v>175000</v>
      </c>
      <c r="G42" s="4">
        <f t="shared" si="6"/>
        <v>949492.8</v>
      </c>
      <c r="H42" s="4">
        <f t="shared" si="7"/>
        <v>750099.312</v>
      </c>
      <c r="I42" s="13">
        <f t="shared" si="8"/>
        <v>0.3157638554</v>
      </c>
      <c r="J42" s="8" t="s">
        <v>68</v>
      </c>
      <c r="K42" s="8" t="s">
        <v>69</v>
      </c>
      <c r="L42" s="8">
        <v>14.0</v>
      </c>
      <c r="M42" s="8"/>
    </row>
    <row r="43">
      <c r="A43" s="24" t="s">
        <v>39</v>
      </c>
      <c r="B43" s="9">
        <v>8000.0</v>
      </c>
      <c r="C43" s="10">
        <f t="shared" si="3"/>
        <v>4000000</v>
      </c>
      <c r="D43" s="10">
        <f t="shared" si="4"/>
        <v>1624492.8</v>
      </c>
      <c r="E43" s="13">
        <v>0.05</v>
      </c>
      <c r="F43" s="4">
        <f t="shared" si="5"/>
        <v>200000</v>
      </c>
      <c r="G43" s="4">
        <f t="shared" si="6"/>
        <v>1424492.8</v>
      </c>
      <c r="H43" s="4">
        <f t="shared" si="7"/>
        <v>1125349.312</v>
      </c>
      <c r="I43" s="13">
        <f t="shared" si="8"/>
        <v>0.4737301205</v>
      </c>
      <c r="J43" s="8" t="s">
        <v>70</v>
      </c>
      <c r="K43" s="8" t="s">
        <v>71</v>
      </c>
      <c r="L43" s="8">
        <v>32.0</v>
      </c>
      <c r="M43" s="8"/>
    </row>
    <row r="45">
      <c r="A45" s="2" t="s">
        <v>72</v>
      </c>
    </row>
    <row r="46">
      <c r="A46" s="1" t="s">
        <v>73</v>
      </c>
      <c r="B46" s="1" t="s">
        <v>74</v>
      </c>
      <c r="C46" s="1" t="s">
        <v>75</v>
      </c>
      <c r="D46" s="1" t="s">
        <v>76</v>
      </c>
      <c r="E46" s="1" t="s">
        <v>77</v>
      </c>
      <c r="G46" s="25"/>
      <c r="H46" s="26" t="s">
        <v>78</v>
      </c>
      <c r="I46" s="26" t="s">
        <v>79</v>
      </c>
      <c r="L46" s="26"/>
      <c r="M46" s="26"/>
      <c r="N46" s="26"/>
    </row>
    <row r="47">
      <c r="A47" s="1" t="s">
        <v>21</v>
      </c>
      <c r="B47" s="4">
        <f t="shared" ref="B47:B49" si="9">C19</f>
        <v>540000</v>
      </c>
      <c r="C47" s="27">
        <f t="shared" ref="C47:C55" si="10">B47/$B$56</f>
        <v>0.2273198751</v>
      </c>
      <c r="D47" s="1" t="s">
        <v>80</v>
      </c>
      <c r="E47" s="1" t="s">
        <v>81</v>
      </c>
      <c r="G47" s="26" t="s">
        <v>81</v>
      </c>
      <c r="H47" s="28">
        <f>B47+B48+B53+B55</f>
        <v>730280</v>
      </c>
      <c r="I47" s="29">
        <f t="shared" ref="I47:I48" si="11">H47/$B$56</f>
        <v>0.3074206637</v>
      </c>
      <c r="L47" s="29"/>
      <c r="M47" s="29"/>
      <c r="N47" s="29"/>
    </row>
    <row r="48">
      <c r="A48" s="1" t="s">
        <v>41</v>
      </c>
      <c r="B48" s="4">
        <f t="shared" si="9"/>
        <v>19980</v>
      </c>
      <c r="C48" s="27">
        <f t="shared" si="10"/>
        <v>0.008410835379</v>
      </c>
      <c r="D48" s="1" t="s">
        <v>80</v>
      </c>
      <c r="E48" s="1" t="s">
        <v>81</v>
      </c>
      <c r="G48" s="26" t="s">
        <v>82</v>
      </c>
      <c r="H48" s="28">
        <f>B56-H47</f>
        <v>1645227.2</v>
      </c>
      <c r="I48" s="29">
        <f t="shared" si="11"/>
        <v>0.6925793363</v>
      </c>
      <c r="L48" s="29"/>
      <c r="M48" s="29"/>
      <c r="N48" s="29"/>
    </row>
    <row r="49">
      <c r="A49" s="1" t="s">
        <v>22</v>
      </c>
      <c r="B49" s="4">
        <f t="shared" si="9"/>
        <v>99427.2</v>
      </c>
      <c r="C49" s="27">
        <f t="shared" si="10"/>
        <v>0.04185514571</v>
      </c>
      <c r="D49" s="1" t="s">
        <v>83</v>
      </c>
      <c r="E49" s="1" t="s">
        <v>84</v>
      </c>
      <c r="G49" s="30" t="s">
        <v>85</v>
      </c>
      <c r="H49" s="31">
        <f t="shared" ref="H49:I49" si="12">SUM(H47:H48)</f>
        <v>2375507.2</v>
      </c>
      <c r="I49" s="32">
        <f t="shared" si="12"/>
        <v>1</v>
      </c>
      <c r="L49" s="33"/>
      <c r="M49" s="33"/>
      <c r="N49" s="33"/>
    </row>
    <row r="50">
      <c r="A50" s="1" t="s">
        <v>23</v>
      </c>
      <c r="B50" s="4">
        <f>C35</f>
        <v>131000</v>
      </c>
      <c r="C50" s="27">
        <f t="shared" si="10"/>
        <v>0.05514611785</v>
      </c>
      <c r="G50" s="34" t="s">
        <v>86</v>
      </c>
      <c r="H50" s="35">
        <f>H49-B56</f>
        <v>0</v>
      </c>
      <c r="I50" s="25"/>
      <c r="L50" s="25"/>
      <c r="M50" s="25"/>
      <c r="N50" s="25"/>
    </row>
    <row r="51">
      <c r="A51" s="1" t="s">
        <v>24</v>
      </c>
      <c r="B51" s="4">
        <f>C26</f>
        <v>1310000</v>
      </c>
      <c r="C51" s="27">
        <f t="shared" si="10"/>
        <v>0.5514611785</v>
      </c>
      <c r="D51" s="1" t="s">
        <v>83</v>
      </c>
      <c r="E51" s="1" t="s">
        <v>84</v>
      </c>
      <c r="G51" s="25"/>
      <c r="H51" s="25"/>
      <c r="I51" s="25"/>
      <c r="L51" s="25"/>
      <c r="M51" s="25"/>
      <c r="N51" s="25"/>
    </row>
    <row r="52">
      <c r="A52" s="1" t="s">
        <v>25</v>
      </c>
      <c r="B52" s="4">
        <f t="shared" ref="B52:B53" si="13">C30</f>
        <v>275100</v>
      </c>
      <c r="C52" s="27">
        <f t="shared" si="10"/>
        <v>0.1158068475</v>
      </c>
      <c r="F52" s="1" t="s">
        <v>87</v>
      </c>
      <c r="G52" s="4">
        <f>B56</f>
        <v>2375507.2</v>
      </c>
    </row>
    <row r="53">
      <c r="A53" s="8" t="s">
        <v>26</v>
      </c>
      <c r="B53" s="4">
        <f t="shared" si="13"/>
        <v>131000</v>
      </c>
      <c r="C53" s="27">
        <f t="shared" si="10"/>
        <v>0.05514611785</v>
      </c>
      <c r="D53" s="1" t="s">
        <v>88</v>
      </c>
      <c r="E53" s="1" t="s">
        <v>81</v>
      </c>
      <c r="F53" s="1" t="s">
        <v>89</v>
      </c>
      <c r="G53" s="4">
        <f>B51</f>
        <v>1310000</v>
      </c>
      <c r="H53" s="12">
        <f>G52-G53-B47</f>
        <v>525507.2</v>
      </c>
    </row>
    <row r="54">
      <c r="A54" s="8" t="s">
        <v>28</v>
      </c>
      <c r="B54" s="4">
        <f t="shared" ref="B54:B55" si="14">C33</f>
        <v>39300</v>
      </c>
      <c r="C54" s="27">
        <f t="shared" si="10"/>
        <v>0.01654383535</v>
      </c>
      <c r="D54" s="1" t="s">
        <v>83</v>
      </c>
      <c r="E54" s="1" t="s">
        <v>84</v>
      </c>
      <c r="F54" s="1" t="s">
        <v>90</v>
      </c>
      <c r="G54" s="4">
        <f>B47+B48+100000</f>
        <v>659980</v>
      </c>
      <c r="J54" s="21"/>
    </row>
    <row r="55">
      <c r="A55" s="8" t="s">
        <v>29</v>
      </c>
      <c r="B55" s="4">
        <f t="shared" si="14"/>
        <v>39300</v>
      </c>
      <c r="C55" s="27">
        <f t="shared" si="10"/>
        <v>0.01654383535</v>
      </c>
      <c r="D55" s="1" t="s">
        <v>80</v>
      </c>
      <c r="E55" s="1" t="s">
        <v>81</v>
      </c>
      <c r="F55" s="1" t="s">
        <v>91</v>
      </c>
      <c r="G55" s="4">
        <f>G52-G53-G54</f>
        <v>405527.2</v>
      </c>
    </row>
    <row r="56">
      <c r="A56" s="2" t="s">
        <v>31</v>
      </c>
      <c r="B56" s="12">
        <f t="shared" ref="B56:C56" si="15">sum(B47:B52)</f>
        <v>2375507.2</v>
      </c>
      <c r="C56" s="36">
        <f t="shared" si="15"/>
        <v>1</v>
      </c>
    </row>
    <row r="57">
      <c r="A57" s="8"/>
      <c r="B5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7.25"/>
    <col customWidth="1" min="2" max="2" width="22.63"/>
    <col customWidth="1" min="3" max="3" width="17.75"/>
  </cols>
  <sheetData>
    <row r="1">
      <c r="A1" s="37" t="s">
        <v>92</v>
      </c>
      <c r="B1" s="38" t="s">
        <v>93</v>
      </c>
    </row>
    <row r="2">
      <c r="A2" s="37" t="s">
        <v>94</v>
      </c>
      <c r="B2" s="38" t="s">
        <v>95</v>
      </c>
    </row>
    <row r="3">
      <c r="A3" s="37" t="s">
        <v>96</v>
      </c>
      <c r="B3" s="38" t="str">
        <f>Hypothesis!B3</f>
        <v>Base case</v>
      </c>
    </row>
    <row r="4">
      <c r="A4" s="39"/>
      <c r="B4" s="39"/>
    </row>
    <row r="5">
      <c r="A5" s="37" t="s">
        <v>97</v>
      </c>
      <c r="B5" s="40" t="s">
        <v>98</v>
      </c>
      <c r="C5" s="41" t="s">
        <v>99</v>
      </c>
    </row>
    <row r="6">
      <c r="A6" s="42" t="s">
        <v>100</v>
      </c>
      <c r="B6" s="43">
        <f>Hypothesis!B19</f>
        <v>3952500</v>
      </c>
      <c r="C6" s="43">
        <f>B6/Hypothesis!$B$10</f>
        <v>7500</v>
      </c>
    </row>
    <row r="7">
      <c r="A7" s="38"/>
      <c r="B7" s="38"/>
      <c r="C7" s="44"/>
    </row>
    <row r="8">
      <c r="A8" s="38" t="s">
        <v>101</v>
      </c>
      <c r="B8" s="45">
        <f>Hypothesis!B23</f>
        <v>625000</v>
      </c>
      <c r="C8" s="46">
        <f>B8/Hypothesis!$B$10</f>
        <v>1185.958254</v>
      </c>
    </row>
    <row r="9">
      <c r="A9" s="38" t="s">
        <v>102</v>
      </c>
      <c r="B9" s="46">
        <f>sum(Hypothesis!B24:B26)</f>
        <v>133450</v>
      </c>
      <c r="C9" s="46">
        <f>B9/Hypothesis!$B$10</f>
        <v>253.2258065</v>
      </c>
    </row>
    <row r="10">
      <c r="A10" s="38" t="s">
        <v>103</v>
      </c>
      <c r="B10" s="46">
        <f>Hypothesis!B27</f>
        <v>22753.5</v>
      </c>
      <c r="C10" s="46">
        <f>B10/Hypothesis!$B$10</f>
        <v>43.17552182</v>
      </c>
    </row>
    <row r="11">
      <c r="A11" s="38" t="s">
        <v>104</v>
      </c>
      <c r="B11" s="46">
        <f>Hypothesis!B34</f>
        <v>306980.45</v>
      </c>
      <c r="C11" s="46">
        <f>B11/Hypothesis!$B$10</f>
        <v>582.5055977</v>
      </c>
    </row>
    <row r="12">
      <c r="A12" s="38" t="s">
        <v>105</v>
      </c>
      <c r="B12" s="46">
        <f>Hypothesis!B29</f>
        <v>1753592.5</v>
      </c>
      <c r="C12" s="46">
        <f>B12/Hypothesis!$B$10</f>
        <v>3327.5</v>
      </c>
    </row>
    <row r="13">
      <c r="A13" s="38" t="s">
        <v>106</v>
      </c>
      <c r="B13" s="46">
        <f>Hypothesis!B33</f>
        <v>87679.625</v>
      </c>
      <c r="C13" s="46">
        <f>B13/Hypothesis!$B$10</f>
        <v>166.375</v>
      </c>
    </row>
    <row r="14">
      <c r="A14" s="42" t="s">
        <v>31</v>
      </c>
      <c r="B14" s="43">
        <f t="shared" ref="B14:C14" si="1">SUM(B8:B13)</f>
        <v>2929456.075</v>
      </c>
      <c r="C14" s="43">
        <f t="shared" si="1"/>
        <v>5558.74018</v>
      </c>
    </row>
    <row r="15">
      <c r="A15" s="47"/>
      <c r="B15" s="48"/>
      <c r="C15" s="49"/>
    </row>
    <row r="16">
      <c r="A16" s="42" t="s">
        <v>107</v>
      </c>
      <c r="B16" s="43">
        <f>Hypothesis!B55</f>
        <v>276675</v>
      </c>
      <c r="C16" s="43">
        <f>B16/Hypothesis!$B$10</f>
        <v>525</v>
      </c>
    </row>
    <row r="17">
      <c r="A17" s="38"/>
      <c r="B17" s="46"/>
      <c r="C17" s="44"/>
    </row>
    <row r="18">
      <c r="A18" s="42" t="s">
        <v>108</v>
      </c>
      <c r="B18" s="43">
        <f>Hypothesis!B58</f>
        <v>146472.8038</v>
      </c>
      <c r="C18" s="43">
        <f>B18/Hypothesis!$B$10</f>
        <v>277.937009</v>
      </c>
    </row>
    <row r="19">
      <c r="A19" s="38"/>
      <c r="B19" s="46"/>
      <c r="C19" s="44"/>
    </row>
    <row r="20">
      <c r="A20" s="42" t="s">
        <v>109</v>
      </c>
      <c r="B20" s="43">
        <f>B6-B14-B16-B18</f>
        <v>599896.1213</v>
      </c>
      <c r="C20" s="43">
        <f>B20/Hypothesis!$B$10</f>
        <v>1138.322811</v>
      </c>
    </row>
    <row r="21">
      <c r="A21" s="38"/>
      <c r="B21" s="46"/>
      <c r="C21" s="44"/>
    </row>
    <row r="22">
      <c r="A22" s="38" t="s">
        <v>102</v>
      </c>
      <c r="B22" s="46">
        <f>B20*25%</f>
        <v>149974.0303</v>
      </c>
      <c r="C22" s="46">
        <f>B22/Hypothesis!$B$10</f>
        <v>284.5807027</v>
      </c>
    </row>
    <row r="23">
      <c r="A23" s="38" t="s">
        <v>110</v>
      </c>
      <c r="B23" s="46">
        <f>Hypothesis!B62</f>
        <v>131250</v>
      </c>
      <c r="C23" s="46">
        <f>B23/Hypothesis!$B$10</f>
        <v>249.0512334</v>
      </c>
    </row>
    <row r="24">
      <c r="A24" s="42" t="s">
        <v>111</v>
      </c>
      <c r="B24" s="43">
        <f>B20-B22+B23</f>
        <v>581172.0909</v>
      </c>
      <c r="C24" s="43">
        <f>B24/Hypothesis!$B$10</f>
        <v>1102.793341</v>
      </c>
    </row>
    <row r="25">
      <c r="A25" s="38"/>
      <c r="B25" s="46"/>
      <c r="C25" s="44"/>
    </row>
    <row r="26">
      <c r="A26" s="50" t="s">
        <v>112</v>
      </c>
      <c r="B26" s="51">
        <f>Hypothesis!B66</f>
        <v>1175863.575</v>
      </c>
      <c r="C26" s="52"/>
    </row>
    <row r="27">
      <c r="A27" s="42" t="s">
        <v>113</v>
      </c>
      <c r="B27" s="53">
        <f>B24/B26</f>
        <v>0.4942512918</v>
      </c>
      <c r="C27" s="54"/>
    </row>
    <row r="28">
      <c r="A28" s="38"/>
      <c r="B28" s="46"/>
      <c r="C28" s="44"/>
    </row>
    <row r="29">
      <c r="A29" s="38" t="s">
        <v>114</v>
      </c>
      <c r="B29" s="44">
        <v>3.0</v>
      </c>
      <c r="C29" s="44"/>
    </row>
    <row r="30">
      <c r="A30" s="42" t="s">
        <v>115</v>
      </c>
      <c r="B30" s="53">
        <f>IF(B29=3,Hypothesis!B79,Hypothesis!C79)</f>
        <v>0.2223957182</v>
      </c>
      <c r="C30" s="54"/>
    </row>
  </sheetData>
  <dataValidations>
    <dataValidation type="list" allowBlank="1" showErrorMessage="1" sqref="B29">
      <formula1>"3,4"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2.63"/>
    <col customWidth="1" min="3" max="3" width="17.75"/>
    <col customWidth="1" min="6" max="6" width="12.63"/>
    <col customWidth="1" min="7" max="7" width="3.0"/>
  </cols>
  <sheetData>
    <row r="1">
      <c r="A1" s="55" t="s">
        <v>92</v>
      </c>
      <c r="B1" s="56" t="str">
        <f>Summary!B1</f>
        <v>Villa Buganvilleas</v>
      </c>
      <c r="C1" s="57"/>
      <c r="D1" s="57"/>
      <c r="E1" s="57"/>
      <c r="F1" s="57"/>
      <c r="G1" s="57"/>
    </row>
    <row r="2">
      <c r="A2" s="55" t="s">
        <v>94</v>
      </c>
      <c r="B2" s="56" t="str">
        <f>Summary!B2</f>
        <v>Buganvillas 14, 29018 Malaga</v>
      </c>
      <c r="C2" s="57"/>
      <c r="D2" s="57"/>
      <c r="E2" s="57"/>
      <c r="F2" s="57"/>
      <c r="G2" s="57"/>
    </row>
    <row r="3">
      <c r="A3" s="55" t="s">
        <v>96</v>
      </c>
      <c r="B3" s="56" t="s">
        <v>116</v>
      </c>
      <c r="C3" s="57"/>
      <c r="D3" s="57"/>
      <c r="E3" s="57"/>
      <c r="F3" s="57"/>
      <c r="G3" s="57"/>
    </row>
    <row r="4">
      <c r="A4" s="58"/>
      <c r="B4" s="58"/>
      <c r="C4" s="57"/>
      <c r="D4" s="57"/>
      <c r="E4" s="57"/>
      <c r="F4" s="57"/>
      <c r="G4" s="57"/>
    </row>
    <row r="5">
      <c r="A5" s="55" t="s">
        <v>117</v>
      </c>
      <c r="B5" s="59"/>
      <c r="C5" s="60"/>
      <c r="D5" s="55" t="s">
        <v>118</v>
      </c>
      <c r="E5" s="61" t="s">
        <v>119</v>
      </c>
      <c r="F5" s="61" t="s">
        <v>120</v>
      </c>
    </row>
    <row r="6">
      <c r="A6" s="56" t="s">
        <v>121</v>
      </c>
      <c r="B6" s="56" t="s">
        <v>122</v>
      </c>
      <c r="C6" s="60"/>
      <c r="D6" s="56" t="s">
        <v>123</v>
      </c>
      <c r="E6" s="62">
        <v>6500.0</v>
      </c>
      <c r="F6" s="62">
        <v>2750.0</v>
      </c>
    </row>
    <row r="7">
      <c r="A7" s="56" t="s">
        <v>124</v>
      </c>
      <c r="B7" s="60">
        <v>1127.0</v>
      </c>
      <c r="C7" s="63" t="s">
        <v>125</v>
      </c>
      <c r="D7" s="56" t="s">
        <v>116</v>
      </c>
      <c r="E7" s="62">
        <v>7500.0</v>
      </c>
      <c r="F7" s="62">
        <v>2750.0</v>
      </c>
    </row>
    <row r="8">
      <c r="A8" s="56" t="s">
        <v>126</v>
      </c>
      <c r="B8" s="64">
        <v>0.244</v>
      </c>
      <c r="C8" s="63"/>
      <c r="D8" s="56" t="s">
        <v>127</v>
      </c>
      <c r="E8" s="62">
        <v>8000.0</v>
      </c>
      <c r="F8" s="62">
        <v>2750.0</v>
      </c>
    </row>
    <row r="9">
      <c r="A9" s="56" t="s">
        <v>128</v>
      </c>
      <c r="B9" s="64">
        <f>B7*B8</f>
        <v>274.988</v>
      </c>
      <c r="C9" s="63" t="s">
        <v>125</v>
      </c>
      <c r="D9" s="65"/>
      <c r="E9" s="57"/>
      <c r="F9" s="57"/>
      <c r="G9" s="57"/>
    </row>
    <row r="10">
      <c r="A10" s="56" t="s">
        <v>129</v>
      </c>
      <c r="B10" s="58">
        <f>B11+B12</f>
        <v>527</v>
      </c>
      <c r="C10" s="63" t="s">
        <v>125</v>
      </c>
      <c r="D10" s="60"/>
      <c r="E10" s="57"/>
      <c r="F10" s="57"/>
      <c r="G10" s="57"/>
    </row>
    <row r="11">
      <c r="A11" s="66" t="s">
        <v>130</v>
      </c>
      <c r="B11" s="56">
        <f t="shared" ref="B11:B12" si="1">527/2</f>
        <v>263.5</v>
      </c>
      <c r="C11" s="63" t="s">
        <v>125</v>
      </c>
      <c r="D11" s="60"/>
      <c r="E11" s="57"/>
      <c r="F11" s="57"/>
      <c r="G11" s="57"/>
    </row>
    <row r="12">
      <c r="A12" s="66" t="s">
        <v>131</v>
      </c>
      <c r="B12" s="56">
        <f t="shared" si="1"/>
        <v>263.5</v>
      </c>
      <c r="C12" s="63" t="s">
        <v>125</v>
      </c>
      <c r="D12" s="60"/>
      <c r="E12" s="57"/>
      <c r="F12" s="57"/>
      <c r="G12" s="57"/>
    </row>
    <row r="13">
      <c r="A13" s="66" t="s">
        <v>132</v>
      </c>
      <c r="B13" s="60">
        <f>B7-B11</f>
        <v>863.5</v>
      </c>
      <c r="C13" s="63" t="s">
        <v>125</v>
      </c>
      <c r="D13" s="60"/>
      <c r="E13" s="57"/>
      <c r="F13" s="57"/>
      <c r="G13" s="57"/>
    </row>
    <row r="14">
      <c r="A14" s="56"/>
      <c r="B14" s="58"/>
      <c r="C14" s="60"/>
      <c r="D14" s="60"/>
      <c r="E14" s="57"/>
      <c r="F14" s="57"/>
      <c r="G14" s="57"/>
    </row>
    <row r="15">
      <c r="A15" s="55" t="s">
        <v>133</v>
      </c>
      <c r="B15" s="67" t="s">
        <v>134</v>
      </c>
      <c r="C15" s="61" t="s">
        <v>119</v>
      </c>
      <c r="D15" s="60"/>
      <c r="E15" s="57"/>
      <c r="F15" s="57"/>
      <c r="G15" s="57"/>
    </row>
    <row r="16">
      <c r="A16" s="68" t="s">
        <v>135</v>
      </c>
      <c r="B16" s="69">
        <f t="shared" ref="B16:B19" si="2">C16*$B$10</f>
        <v>3162000</v>
      </c>
      <c r="C16" s="69">
        <f t="shared" ref="C16:C18" si="3">C17-500</f>
        <v>6000</v>
      </c>
      <c r="D16" s="60"/>
      <c r="E16" s="57"/>
      <c r="F16" s="57"/>
      <c r="G16" s="57"/>
    </row>
    <row r="17">
      <c r="A17" s="56" t="s">
        <v>136</v>
      </c>
      <c r="B17" s="70">
        <f t="shared" si="2"/>
        <v>3425500</v>
      </c>
      <c r="C17" s="70">
        <f t="shared" si="3"/>
        <v>6500</v>
      </c>
      <c r="D17" s="60"/>
      <c r="E17" s="57"/>
      <c r="F17" s="57"/>
      <c r="G17" s="57"/>
    </row>
    <row r="18">
      <c r="A18" s="56" t="s">
        <v>137</v>
      </c>
      <c r="B18" s="70">
        <f t="shared" si="2"/>
        <v>3689000</v>
      </c>
      <c r="C18" s="70">
        <f t="shared" si="3"/>
        <v>7000</v>
      </c>
      <c r="D18" s="60"/>
      <c r="E18" s="57"/>
      <c r="F18" s="57"/>
      <c r="G18" s="57"/>
    </row>
    <row r="19">
      <c r="A19" s="56" t="s">
        <v>138</v>
      </c>
      <c r="B19" s="70">
        <f t="shared" si="2"/>
        <v>3952500</v>
      </c>
      <c r="C19" s="70">
        <f>VLOOKUP(B3,D5:F8,2,FALSE)</f>
        <v>7500</v>
      </c>
      <c r="D19" s="60"/>
      <c r="E19" s="57"/>
      <c r="F19" s="57"/>
      <c r="G19" s="57"/>
    </row>
    <row r="20">
      <c r="A20" s="56"/>
      <c r="B20" s="60"/>
      <c r="C20" s="60"/>
      <c r="D20" s="60"/>
      <c r="E20" s="57"/>
      <c r="F20" s="57"/>
      <c r="G20" s="57"/>
    </row>
    <row r="21">
      <c r="A21" s="55" t="s">
        <v>139</v>
      </c>
      <c r="B21" s="67" t="s">
        <v>140</v>
      </c>
      <c r="C21" s="61" t="s">
        <v>141</v>
      </c>
      <c r="D21" s="61" t="s">
        <v>142</v>
      </c>
      <c r="E21" s="57"/>
      <c r="F21" s="57"/>
      <c r="G21" s="57"/>
    </row>
    <row r="22">
      <c r="A22" s="71" t="s">
        <v>143</v>
      </c>
      <c r="B22" s="72">
        <f>sum(B23:B26)</f>
        <v>758450</v>
      </c>
      <c r="C22" s="72">
        <f>B22/$B$10</f>
        <v>1439.184061</v>
      </c>
      <c r="D22" s="73"/>
      <c r="E22" s="74"/>
      <c r="F22" s="71"/>
      <c r="G22" s="72"/>
    </row>
    <row r="23">
      <c r="A23" s="66" t="s">
        <v>144</v>
      </c>
      <c r="B23" s="70">
        <v>625000.0</v>
      </c>
      <c r="C23" s="70"/>
      <c r="D23" s="75"/>
      <c r="E23" s="74"/>
      <c r="F23" s="71"/>
      <c r="G23" s="72"/>
    </row>
    <row r="24">
      <c r="A24" s="66" t="s">
        <v>145</v>
      </c>
      <c r="B24" s="70">
        <f>B23*D24</f>
        <v>131250</v>
      </c>
      <c r="C24" s="70"/>
      <c r="D24" s="75">
        <v>0.21</v>
      </c>
      <c r="E24" s="76" t="s">
        <v>146</v>
      </c>
      <c r="F24" s="71"/>
      <c r="G24" s="66"/>
    </row>
    <row r="25">
      <c r="A25" s="66" t="s">
        <v>147</v>
      </c>
      <c r="B25" s="70">
        <v>2200.0</v>
      </c>
      <c r="C25" s="70"/>
      <c r="D25" s="75"/>
      <c r="E25" s="74"/>
      <c r="F25" s="71"/>
      <c r="G25" s="66"/>
    </row>
    <row r="26">
      <c r="A26" s="66" t="s">
        <v>148</v>
      </c>
      <c r="B26" s="70">
        <f>B23*D26</f>
        <v>0</v>
      </c>
      <c r="C26" s="70"/>
      <c r="D26" s="75">
        <v>0.0</v>
      </c>
      <c r="E26" s="74"/>
      <c r="F26" s="57"/>
      <c r="G26" s="57"/>
    </row>
    <row r="27">
      <c r="A27" s="71" t="s">
        <v>149</v>
      </c>
      <c r="B27" s="72">
        <f>B22*D27</f>
        <v>22753.5</v>
      </c>
      <c r="C27" s="72"/>
      <c r="D27" s="75">
        <v>0.03</v>
      </c>
      <c r="E27" s="74"/>
      <c r="F27" s="71"/>
      <c r="G27" s="74"/>
    </row>
    <row r="28">
      <c r="A28" s="71" t="s">
        <v>150</v>
      </c>
      <c r="B28" s="72">
        <v>0.0</v>
      </c>
      <c r="C28" s="72">
        <v>0.0</v>
      </c>
      <c r="D28" s="73">
        <v>0.0</v>
      </c>
      <c r="E28" s="74"/>
      <c r="F28" s="56"/>
      <c r="G28" s="77"/>
    </row>
    <row r="29">
      <c r="A29" s="71" t="s">
        <v>151</v>
      </c>
      <c r="B29" s="72">
        <f>sum(B30:B32)</f>
        <v>1753592.5</v>
      </c>
      <c r="C29" s="72">
        <f>B29/$B$10</f>
        <v>3327.5</v>
      </c>
      <c r="D29" s="73"/>
      <c r="E29" s="74"/>
      <c r="F29" s="56"/>
      <c r="G29" s="77"/>
    </row>
    <row r="30">
      <c r="A30" s="66" t="s">
        <v>152</v>
      </c>
      <c r="B30" s="70">
        <f t="shared" ref="B30:B31" si="4">C30*$B$10</f>
        <v>1449250</v>
      </c>
      <c r="C30" s="70">
        <f>VLOOKUP(B3,D5:F8,3,FALSE)</f>
        <v>2750</v>
      </c>
      <c r="D30" s="60"/>
      <c r="E30" s="57"/>
      <c r="F30" s="56"/>
      <c r="G30" s="77"/>
    </row>
    <row r="31">
      <c r="A31" s="66" t="s">
        <v>153</v>
      </c>
      <c r="B31" s="70">
        <f t="shared" si="4"/>
        <v>144925</v>
      </c>
      <c r="C31" s="70">
        <f>C30*D31</f>
        <v>275</v>
      </c>
      <c r="D31" s="77">
        <v>0.1</v>
      </c>
      <c r="E31" s="57"/>
      <c r="F31" s="56"/>
      <c r="G31" s="77"/>
    </row>
    <row r="32">
      <c r="A32" s="66" t="s">
        <v>154</v>
      </c>
      <c r="B32" s="70">
        <f>D32*(B30+B31)</f>
        <v>159417.5</v>
      </c>
      <c r="C32" s="70">
        <f>B32/$B$10</f>
        <v>302.5</v>
      </c>
      <c r="D32" s="77">
        <v>0.1</v>
      </c>
      <c r="E32" s="57"/>
      <c r="F32" s="56"/>
      <c r="G32" s="77"/>
    </row>
    <row r="33">
      <c r="A33" s="71" t="s">
        <v>155</v>
      </c>
      <c r="B33" s="72">
        <f>D33*B29</f>
        <v>87679.625</v>
      </c>
      <c r="C33" s="72"/>
      <c r="D33" s="78">
        <v>0.05</v>
      </c>
      <c r="E33" s="74"/>
      <c r="F33" s="57"/>
      <c r="G33" s="78"/>
    </row>
    <row r="34">
      <c r="A34" s="71" t="s">
        <v>156</v>
      </c>
      <c r="B34" s="72">
        <f>sum(B35:B40)</f>
        <v>306980.45</v>
      </c>
      <c r="C34" s="72">
        <f>B34/B10</f>
        <v>582.5055977</v>
      </c>
      <c r="D34" s="78">
        <v>0.1</v>
      </c>
      <c r="E34" s="74"/>
      <c r="F34" s="57"/>
      <c r="G34" s="57"/>
    </row>
    <row r="35">
      <c r="A35" s="66" t="s">
        <v>157</v>
      </c>
      <c r="B35" s="79">
        <f t="shared" ref="B35:B39" si="5">D35*$B$29</f>
        <v>35071.85</v>
      </c>
      <c r="C35" s="70">
        <f t="shared" ref="C35:C39" si="6">$C$30*D35</f>
        <v>55</v>
      </c>
      <c r="D35" s="80">
        <v>0.02</v>
      </c>
      <c r="E35" s="76"/>
      <c r="F35" s="57"/>
      <c r="G35" s="57"/>
    </row>
    <row r="36">
      <c r="A36" s="66" t="s">
        <v>158</v>
      </c>
      <c r="B36" s="79">
        <f t="shared" si="5"/>
        <v>35071.85</v>
      </c>
      <c r="C36" s="70">
        <f t="shared" si="6"/>
        <v>55</v>
      </c>
      <c r="D36" s="77">
        <v>0.02</v>
      </c>
      <c r="E36" s="57"/>
      <c r="F36" s="56"/>
      <c r="G36" s="57"/>
    </row>
    <row r="37">
      <c r="A37" s="66" t="s">
        <v>51</v>
      </c>
      <c r="B37" s="79">
        <f t="shared" si="5"/>
        <v>35071.85</v>
      </c>
      <c r="C37" s="70">
        <f t="shared" si="6"/>
        <v>55</v>
      </c>
      <c r="D37" s="77">
        <v>0.02</v>
      </c>
      <c r="E37" s="57"/>
      <c r="F37" s="56"/>
      <c r="G37" s="57"/>
    </row>
    <row r="38">
      <c r="A38" s="66" t="s">
        <v>159</v>
      </c>
      <c r="B38" s="79">
        <f t="shared" si="5"/>
        <v>87679.625</v>
      </c>
      <c r="C38" s="70">
        <f t="shared" si="6"/>
        <v>137.5</v>
      </c>
      <c r="D38" s="77">
        <v>0.05</v>
      </c>
      <c r="E38" s="57"/>
      <c r="F38" s="56"/>
      <c r="G38" s="57"/>
    </row>
    <row r="39">
      <c r="A39" s="66" t="s">
        <v>28</v>
      </c>
      <c r="B39" s="79">
        <f t="shared" si="5"/>
        <v>52607.775</v>
      </c>
      <c r="C39" s="70">
        <f t="shared" si="6"/>
        <v>82.5</v>
      </c>
      <c r="D39" s="77">
        <v>0.03</v>
      </c>
      <c r="E39" s="57"/>
      <c r="F39" s="57"/>
      <c r="G39" s="57"/>
    </row>
    <row r="40">
      <c r="A40" s="66" t="s">
        <v>29</v>
      </c>
      <c r="B40" s="79">
        <f>'Project management'!B13</f>
        <v>61477.5</v>
      </c>
      <c r="C40" s="70">
        <f>B40/B10</f>
        <v>116.6555977</v>
      </c>
      <c r="D40" s="77">
        <f>C40/C29</f>
        <v>0.03505803087</v>
      </c>
      <c r="E40" s="57"/>
      <c r="F40" s="57"/>
      <c r="G40" s="57"/>
    </row>
    <row r="41">
      <c r="A41" s="66"/>
      <c r="B41" s="79"/>
      <c r="C41" s="70"/>
      <c r="D41" s="77"/>
      <c r="E41" s="57"/>
      <c r="F41" s="57"/>
      <c r="G41" s="57"/>
    </row>
    <row r="42">
      <c r="A42" s="81" t="s">
        <v>31</v>
      </c>
      <c r="B42" s="82">
        <f>B22+B27+B28+B29+B33+B34</f>
        <v>2929456.075</v>
      </c>
      <c r="C42" s="82">
        <f>B42/B10</f>
        <v>5558.74018</v>
      </c>
      <c r="D42" s="83">
        <f>B42/B19</f>
        <v>0.7411653574</v>
      </c>
      <c r="E42" s="57"/>
      <c r="F42" s="57"/>
      <c r="G42" s="57"/>
    </row>
    <row r="43">
      <c r="A43" s="57"/>
      <c r="B43" s="57"/>
      <c r="C43" s="60"/>
      <c r="D43" s="60"/>
      <c r="E43" s="57"/>
      <c r="F43" s="57"/>
      <c r="G43" s="57"/>
    </row>
    <row r="44">
      <c r="A44" s="55" t="s">
        <v>160</v>
      </c>
      <c r="B44" s="67" t="s">
        <v>161</v>
      </c>
      <c r="C44" s="67" t="s">
        <v>162</v>
      </c>
      <c r="D44" s="61"/>
      <c r="E44" s="57"/>
      <c r="F44" s="57"/>
      <c r="G44" s="57"/>
    </row>
    <row r="45">
      <c r="A45" s="57" t="str">
        <f t="shared" ref="A45:A48" si="7">A16</f>
        <v>I. Villa sale (without licence)</v>
      </c>
      <c r="B45" s="84">
        <f t="shared" ref="B45:B48" si="8">B16-$B$42</f>
        <v>232543.925</v>
      </c>
      <c r="C45" s="77">
        <f t="shared" ref="C45:C48" si="9">B45/B16</f>
        <v>0.07354330329</v>
      </c>
      <c r="D45" s="85"/>
      <c r="E45" s="79"/>
      <c r="F45" s="86"/>
      <c r="G45" s="87"/>
    </row>
    <row r="46">
      <c r="A46" s="57" t="str">
        <f t="shared" si="7"/>
        <v>II. Villa sale (with licence)</v>
      </c>
      <c r="B46" s="84">
        <f t="shared" si="8"/>
        <v>496043.925</v>
      </c>
      <c r="C46" s="77">
        <f t="shared" si="9"/>
        <v>0.144809203</v>
      </c>
      <c r="D46" s="85"/>
      <c r="E46" s="79"/>
      <c r="F46" s="86"/>
      <c r="G46" s="87"/>
    </row>
    <row r="47">
      <c r="A47" s="57" t="str">
        <f t="shared" si="7"/>
        <v>III. Villa sale (construction started)</v>
      </c>
      <c r="B47" s="84">
        <f t="shared" si="8"/>
        <v>759543.925</v>
      </c>
      <c r="C47" s="77">
        <f t="shared" si="9"/>
        <v>0.20589426</v>
      </c>
      <c r="D47" s="85"/>
      <c r="E47" s="79"/>
      <c r="F47" s="86"/>
      <c r="G47" s="87"/>
    </row>
    <row r="48">
      <c r="A48" s="57" t="str">
        <f t="shared" si="7"/>
        <v>IV. Villa sale (construction finalized)</v>
      </c>
      <c r="B48" s="84">
        <f t="shared" si="8"/>
        <v>1023043.925</v>
      </c>
      <c r="C48" s="77">
        <f t="shared" si="9"/>
        <v>0.2588346426</v>
      </c>
      <c r="D48" s="85"/>
      <c r="E48" s="79"/>
      <c r="F48" s="86"/>
      <c r="G48" s="87"/>
    </row>
    <row r="49">
      <c r="A49" s="57"/>
      <c r="B49" s="57"/>
      <c r="C49" s="57"/>
      <c r="D49" s="57"/>
      <c r="E49" s="57"/>
      <c r="F49" s="57"/>
      <c r="G49" s="57"/>
    </row>
    <row r="50">
      <c r="A50" s="55" t="s">
        <v>163</v>
      </c>
      <c r="B50" s="67" t="s">
        <v>98</v>
      </c>
      <c r="C50" s="67" t="s">
        <v>164</v>
      </c>
      <c r="D50" s="61"/>
      <c r="E50" s="57"/>
      <c r="F50" s="57"/>
      <c r="G50" s="57"/>
    </row>
    <row r="51">
      <c r="A51" s="88" t="s">
        <v>165</v>
      </c>
      <c r="B51" s="84">
        <f>B19</f>
        <v>3952500</v>
      </c>
      <c r="C51" s="89">
        <f>B51/B51</f>
        <v>1</v>
      </c>
      <c r="D51" s="57"/>
      <c r="E51" s="57"/>
      <c r="F51" s="57"/>
      <c r="G51" s="57"/>
    </row>
    <row r="52">
      <c r="A52" s="88" t="s">
        <v>166</v>
      </c>
      <c r="B52" s="84">
        <f>B42</f>
        <v>2929456.075</v>
      </c>
      <c r="C52" s="89">
        <f t="shared" ref="C52:C53" si="10">B52/$B$51</f>
        <v>0.7411653574</v>
      </c>
      <c r="D52" s="57"/>
      <c r="E52" s="57"/>
      <c r="F52" s="84"/>
      <c r="G52" s="57"/>
    </row>
    <row r="53">
      <c r="A53" s="90" t="s">
        <v>167</v>
      </c>
      <c r="B53" s="91">
        <f>B51-B52</f>
        <v>1023043.925</v>
      </c>
      <c r="C53" s="92">
        <f t="shared" si="10"/>
        <v>0.2588346426</v>
      </c>
      <c r="D53" s="74"/>
      <c r="E53" s="74"/>
      <c r="F53" s="74"/>
      <c r="G53" s="74"/>
    </row>
    <row r="54">
      <c r="A54" s="57"/>
      <c r="B54" s="57"/>
      <c r="C54" s="57"/>
      <c r="D54" s="57"/>
      <c r="E54" s="57"/>
      <c r="F54" s="57"/>
      <c r="G54" s="57"/>
    </row>
    <row r="55">
      <c r="A55" s="88" t="s">
        <v>168</v>
      </c>
      <c r="B55" s="84">
        <f>C55*$B$51</f>
        <v>276675</v>
      </c>
      <c r="C55" s="93">
        <v>0.07</v>
      </c>
      <c r="D55" s="57"/>
      <c r="E55" s="57"/>
      <c r="F55" s="57"/>
      <c r="G55" s="57"/>
    </row>
    <row r="56">
      <c r="A56" s="90" t="s">
        <v>169</v>
      </c>
      <c r="B56" s="91">
        <f>B53-B55</f>
        <v>746368.925</v>
      </c>
      <c r="C56" s="92">
        <f>B56/$B$51</f>
        <v>0.1888346426</v>
      </c>
      <c r="D56" s="74"/>
      <c r="E56" s="74"/>
      <c r="F56" s="74"/>
      <c r="G56" s="74"/>
    </row>
    <row r="57">
      <c r="A57" s="57"/>
      <c r="B57" s="57"/>
      <c r="C57" s="57"/>
      <c r="D57" s="57"/>
      <c r="E57" s="57"/>
      <c r="F57" s="57"/>
      <c r="G57" s="57"/>
    </row>
    <row r="58">
      <c r="A58" s="88" t="s">
        <v>170</v>
      </c>
      <c r="B58" s="84">
        <f>C58*$B$52</f>
        <v>146472.8038</v>
      </c>
      <c r="C58" s="93">
        <v>0.05</v>
      </c>
      <c r="D58" s="57"/>
      <c r="E58" s="57"/>
      <c r="F58" s="57"/>
      <c r="G58" s="57"/>
    </row>
    <row r="59">
      <c r="A59" s="90" t="s">
        <v>171</v>
      </c>
      <c r="B59" s="91">
        <f>B56-B58</f>
        <v>599896.1213</v>
      </c>
      <c r="C59" s="92">
        <f>B59/$B$51</f>
        <v>0.1517763748</v>
      </c>
      <c r="D59" s="74"/>
      <c r="E59" s="74"/>
      <c r="F59" s="74"/>
      <c r="G59" s="74"/>
    </row>
    <row r="60">
      <c r="A60" s="57"/>
      <c r="B60" s="57"/>
      <c r="C60" s="57"/>
      <c r="D60" s="57"/>
      <c r="E60" s="57"/>
      <c r="F60" s="57"/>
      <c r="G60" s="57"/>
    </row>
    <row r="61">
      <c r="A61" s="88" t="s">
        <v>172</v>
      </c>
      <c r="B61" s="84">
        <f>D61*B59</f>
        <v>149974.0303</v>
      </c>
      <c r="C61" s="93">
        <f>B61/B51</f>
        <v>0.03794409369</v>
      </c>
      <c r="D61" s="94">
        <v>0.25</v>
      </c>
      <c r="E61" s="76" t="s">
        <v>173</v>
      </c>
      <c r="F61" s="57"/>
      <c r="G61" s="57"/>
    </row>
    <row r="62">
      <c r="A62" s="88" t="s">
        <v>110</v>
      </c>
      <c r="B62" s="84">
        <f>B24</f>
        <v>131250</v>
      </c>
      <c r="C62" s="93">
        <f>B62/B51</f>
        <v>0.03320683112</v>
      </c>
      <c r="D62" s="74"/>
      <c r="E62" s="74"/>
      <c r="F62" s="74"/>
      <c r="G62" s="74"/>
    </row>
    <row r="63">
      <c r="A63" s="90" t="s">
        <v>174</v>
      </c>
      <c r="B63" s="91">
        <f>B59-B61+B62</f>
        <v>581172.0909</v>
      </c>
      <c r="C63" s="92">
        <f>B63/$B$51</f>
        <v>0.1470391122</v>
      </c>
      <c r="D63" s="74"/>
      <c r="E63" s="74"/>
      <c r="F63" s="74"/>
      <c r="G63" s="74"/>
    </row>
    <row r="64">
      <c r="A64" s="57"/>
      <c r="B64" s="57"/>
      <c r="C64" s="57"/>
      <c r="D64" s="57"/>
      <c r="E64" s="57"/>
      <c r="F64" s="57"/>
      <c r="G64" s="57"/>
    </row>
    <row r="65">
      <c r="A65" s="55" t="s">
        <v>175</v>
      </c>
      <c r="B65" s="67"/>
      <c r="C65" s="61"/>
      <c r="D65" s="61"/>
      <c r="E65" s="57"/>
      <c r="F65" s="57"/>
      <c r="G65" s="57"/>
    </row>
    <row r="66">
      <c r="A66" s="88" t="s">
        <v>112</v>
      </c>
      <c r="B66" s="84">
        <f>B22+B27+B28+B33+B34</f>
        <v>1175863.575</v>
      </c>
      <c r="C66" s="57"/>
      <c r="D66" s="57"/>
      <c r="E66" s="57"/>
      <c r="F66" s="57"/>
      <c r="G66" s="57"/>
    </row>
    <row r="67">
      <c r="A67" s="88" t="s">
        <v>176</v>
      </c>
      <c r="B67" s="95">
        <f>B63</f>
        <v>581172.0909</v>
      </c>
      <c r="C67" s="57"/>
      <c r="D67" s="57"/>
      <c r="E67" s="57"/>
      <c r="F67" s="57"/>
      <c r="G67" s="57"/>
    </row>
    <row r="68">
      <c r="A68" s="90" t="s">
        <v>113</v>
      </c>
      <c r="B68" s="96">
        <f>B67/B66</f>
        <v>0.4942512918</v>
      </c>
      <c r="C68" s="57"/>
      <c r="D68" s="57"/>
      <c r="E68" s="57"/>
      <c r="F68" s="57"/>
      <c r="G68" s="57"/>
    </row>
    <row r="69">
      <c r="A69" s="57"/>
      <c r="B69" s="57"/>
      <c r="C69" s="57"/>
      <c r="D69" s="57"/>
      <c r="E69" s="57"/>
      <c r="F69" s="57"/>
      <c r="G69" s="57"/>
    </row>
    <row r="70">
      <c r="A70" s="55" t="s">
        <v>177</v>
      </c>
      <c r="B70" s="67" t="s">
        <v>98</v>
      </c>
      <c r="C70" s="67" t="s">
        <v>142</v>
      </c>
      <c r="D70" s="61"/>
      <c r="E70" s="57"/>
      <c r="F70" s="57"/>
      <c r="G70" s="57"/>
    </row>
    <row r="71">
      <c r="A71" s="88" t="s">
        <v>178</v>
      </c>
      <c r="B71" s="84">
        <f>B51</f>
        <v>3952500</v>
      </c>
      <c r="C71" s="57"/>
      <c r="D71" s="57"/>
      <c r="E71" s="57"/>
      <c r="F71" s="57"/>
      <c r="G71" s="57"/>
    </row>
    <row r="72">
      <c r="A72" s="88" t="s">
        <v>179</v>
      </c>
      <c r="B72" s="84">
        <f>B52+B55+B58</f>
        <v>3352603.879</v>
      </c>
      <c r="C72" s="57"/>
      <c r="D72" s="57"/>
      <c r="E72" s="57"/>
      <c r="F72" s="57"/>
      <c r="G72" s="57"/>
    </row>
    <row r="73">
      <c r="A73" s="88" t="s">
        <v>180</v>
      </c>
      <c r="B73" s="84">
        <f>B63</f>
        <v>581172.0909</v>
      </c>
      <c r="C73" s="57"/>
      <c r="D73" s="57"/>
      <c r="E73" s="57"/>
      <c r="F73" s="57"/>
      <c r="G73" s="57"/>
    </row>
    <row r="74">
      <c r="A74" s="88" t="s">
        <v>181</v>
      </c>
      <c r="B74" s="84">
        <f>sum(B75:B76)</f>
        <v>1757035.666</v>
      </c>
      <c r="C74" s="57"/>
      <c r="D74" s="57"/>
      <c r="E74" s="57"/>
      <c r="F74" s="57"/>
      <c r="G74" s="57"/>
    </row>
    <row r="75">
      <c r="A75" s="66" t="s">
        <v>112</v>
      </c>
      <c r="B75" s="84">
        <f>B22+B27+B28+B33+B34</f>
        <v>1175863.575</v>
      </c>
      <c r="C75" s="57"/>
      <c r="D75" s="57"/>
      <c r="E75" s="57"/>
      <c r="F75" s="57"/>
      <c r="G75" s="57"/>
    </row>
    <row r="76">
      <c r="A76" s="66" t="s">
        <v>182</v>
      </c>
      <c r="B76" s="84">
        <f>B73</f>
        <v>581172.0909</v>
      </c>
      <c r="C76" s="57"/>
      <c r="D76" s="57"/>
      <c r="E76" s="57"/>
      <c r="F76" s="57"/>
      <c r="G76" s="57"/>
    </row>
    <row r="77">
      <c r="A77" s="88" t="s">
        <v>113</v>
      </c>
      <c r="B77" s="97">
        <f>B73/B75</f>
        <v>0.4942512918</v>
      </c>
      <c r="C77" s="57"/>
      <c r="D77" s="57"/>
      <c r="E77" s="57"/>
      <c r="F77" s="57"/>
      <c r="G77" s="57"/>
    </row>
    <row r="78">
      <c r="A78" s="88" t="s">
        <v>183</v>
      </c>
      <c r="B78" s="57"/>
      <c r="C78" s="57"/>
      <c r="D78" s="57"/>
      <c r="E78" s="57"/>
      <c r="F78" s="57"/>
      <c r="G78" s="74"/>
    </row>
    <row r="79">
      <c r="A79" s="88" t="s">
        <v>184</v>
      </c>
      <c r="B79" s="98">
        <f>IRR(B80:B82)</f>
        <v>0.2223957182</v>
      </c>
      <c r="C79" s="98">
        <f>IRR(C80:C83)</f>
        <v>0.1432500086</v>
      </c>
      <c r="D79" s="57"/>
      <c r="E79" s="57"/>
      <c r="F79" s="57"/>
      <c r="G79" s="74"/>
    </row>
    <row r="80">
      <c r="A80" s="88">
        <v>2026.0</v>
      </c>
      <c r="B80" s="99">
        <f>-(B22+B27+B33+B34)</f>
        <v>-1175863.575</v>
      </c>
      <c r="C80" s="99">
        <f t="shared" ref="C80:C81" si="11">B80</f>
        <v>-1175863.575</v>
      </c>
      <c r="D80" s="63" t="s">
        <v>185</v>
      </c>
      <c r="E80" s="63"/>
      <c r="F80" s="57"/>
      <c r="G80" s="57"/>
    </row>
    <row r="81">
      <c r="A81" s="88">
        <v>2027.0</v>
      </c>
      <c r="B81" s="100">
        <v>0.0</v>
      </c>
      <c r="C81" s="99">
        <f t="shared" si="11"/>
        <v>0</v>
      </c>
      <c r="D81" s="63" t="s">
        <v>186</v>
      </c>
      <c r="E81" s="63"/>
      <c r="F81" s="57"/>
      <c r="G81" s="57"/>
    </row>
    <row r="82">
      <c r="A82" s="88">
        <v>2028.0</v>
      </c>
      <c r="B82" s="99">
        <f>B74</f>
        <v>1757035.666</v>
      </c>
      <c r="C82" s="100">
        <v>0.0</v>
      </c>
      <c r="D82" s="63" t="s">
        <v>187</v>
      </c>
      <c r="E82" s="63"/>
      <c r="F82" s="57"/>
      <c r="G82" s="57"/>
    </row>
    <row r="83">
      <c r="A83" s="88">
        <v>2029.0</v>
      </c>
      <c r="B83" s="100">
        <v>0.0</v>
      </c>
      <c r="C83" s="99">
        <f>B82</f>
        <v>1757035.666</v>
      </c>
      <c r="D83" s="63"/>
      <c r="E83" s="63"/>
      <c r="F83" s="57"/>
      <c r="G83" s="57"/>
    </row>
    <row r="84">
      <c r="A84" s="57"/>
      <c r="B84" s="101" t="s">
        <v>188</v>
      </c>
      <c r="C84" s="101" t="s">
        <v>189</v>
      </c>
      <c r="D84" s="57"/>
      <c r="E84" s="57"/>
      <c r="F84" s="57"/>
      <c r="G84" s="57"/>
    </row>
    <row r="85">
      <c r="A85" s="57"/>
      <c r="B85" s="57"/>
      <c r="C85" s="57"/>
      <c r="D85" s="57"/>
      <c r="E85" s="57"/>
      <c r="F85" s="57"/>
      <c r="G85" s="57"/>
    </row>
    <row r="86">
      <c r="A86" s="102" t="s">
        <v>190</v>
      </c>
      <c r="B86" s="103" t="s">
        <v>191</v>
      </c>
      <c r="C86" s="103" t="s">
        <v>192</v>
      </c>
      <c r="D86" s="67" t="s">
        <v>193</v>
      </c>
      <c r="E86" s="103" t="s">
        <v>194</v>
      </c>
      <c r="F86" s="103" t="s">
        <v>195</v>
      </c>
      <c r="G86" s="57"/>
    </row>
    <row r="87">
      <c r="A87" s="104" t="s">
        <v>196</v>
      </c>
      <c r="B87" s="105">
        <f>B66/2</f>
        <v>587931.7875</v>
      </c>
      <c r="C87" s="105">
        <f>B22+B35</f>
        <v>793521.85</v>
      </c>
      <c r="D87" s="106">
        <f t="shared" ref="D87:D88" si="12">B87/$B$89</f>
        <v>0.5</v>
      </c>
      <c r="E87" s="107">
        <f t="shared" ref="E87:E88" si="13">D87*$E$89</f>
        <v>290586.0455</v>
      </c>
      <c r="F87" s="108">
        <f t="shared" ref="F87:F89" si="14">(B87+E87)/B87</f>
        <v>1.494251292</v>
      </c>
      <c r="G87" s="57"/>
    </row>
    <row r="88">
      <c r="A88" s="104" t="s">
        <v>197</v>
      </c>
      <c r="B88" s="105">
        <f>B87</f>
        <v>587931.7875</v>
      </c>
      <c r="C88" s="109">
        <v>0.0</v>
      </c>
      <c r="D88" s="106">
        <f t="shared" si="12"/>
        <v>0.5</v>
      </c>
      <c r="E88" s="107">
        <f t="shared" si="13"/>
        <v>290586.0455</v>
      </c>
      <c r="F88" s="108">
        <f t="shared" si="14"/>
        <v>1.494251292</v>
      </c>
      <c r="G88" s="57"/>
    </row>
    <row r="89">
      <c r="A89" s="110"/>
      <c r="B89" s="111">
        <f t="shared" ref="B89:D89" si="15">sum(B87:B88)</f>
        <v>1175863.575</v>
      </c>
      <c r="C89" s="111">
        <f t="shared" si="15"/>
        <v>793521.85</v>
      </c>
      <c r="D89" s="112">
        <f t="shared" si="15"/>
        <v>1</v>
      </c>
      <c r="E89" s="111">
        <f>B67</f>
        <v>581172.0909</v>
      </c>
      <c r="F89" s="108">
        <f t="shared" si="14"/>
        <v>1.494251292</v>
      </c>
      <c r="G89" s="57"/>
    </row>
    <row r="90">
      <c r="A90" s="110"/>
      <c r="B90" s="105"/>
      <c r="C90" s="113"/>
      <c r="D90" s="113"/>
      <c r="E90" s="57"/>
      <c r="F90" s="57"/>
      <c r="G90" s="57"/>
    </row>
  </sheetData>
  <dataValidations>
    <dataValidation type="list" allowBlank="1" showErrorMessage="1" sqref="B3">
      <formula1>Hypothesis!$D$6:$D$8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2.63"/>
    <col customWidth="1" min="3" max="3" width="11.38"/>
    <col customWidth="1" min="4" max="4" width="18.5"/>
    <col customWidth="1" min="8" max="10" width="13.25"/>
    <col customWidth="1" min="11" max="11" width="15.75"/>
  </cols>
  <sheetData>
    <row r="1">
      <c r="A1" s="37" t="s">
        <v>92</v>
      </c>
      <c r="B1" s="38" t="s">
        <v>198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>
      <c r="A2" s="37" t="s">
        <v>94</v>
      </c>
      <c r="B2" s="38" t="s">
        <v>199</v>
      </c>
      <c r="C2" s="7"/>
      <c r="D2" s="7"/>
      <c r="E2" s="7"/>
      <c r="F2" s="7"/>
      <c r="G2" s="7"/>
      <c r="H2" s="6"/>
      <c r="I2" s="6"/>
      <c r="J2" s="6"/>
      <c r="K2" s="7"/>
      <c r="L2" s="7"/>
      <c r="M2" s="7"/>
    </row>
    <row r="3">
      <c r="A3" s="37" t="s">
        <v>96</v>
      </c>
      <c r="B3" s="38" t="s">
        <v>200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>
      <c r="A4" s="39"/>
      <c r="B4" s="39"/>
      <c r="C4" s="7"/>
      <c r="D4" s="7"/>
      <c r="E4" s="7"/>
      <c r="F4" s="7"/>
      <c r="G4" s="7"/>
      <c r="H4" s="114" t="s">
        <v>201</v>
      </c>
      <c r="K4" s="7"/>
      <c r="L4" s="7"/>
      <c r="M4" s="7"/>
    </row>
    <row r="5">
      <c r="A5" s="37" t="s">
        <v>202</v>
      </c>
      <c r="B5" s="41" t="s">
        <v>203</v>
      </c>
      <c r="C5" s="41" t="s">
        <v>204</v>
      </c>
      <c r="D5" s="41" t="s">
        <v>76</v>
      </c>
      <c r="E5" s="41" t="s">
        <v>205</v>
      </c>
      <c r="F5" s="41" t="s">
        <v>206</v>
      </c>
      <c r="G5" s="41" t="s">
        <v>119</v>
      </c>
      <c r="H5" s="115" t="s">
        <v>207</v>
      </c>
      <c r="I5" s="115" t="s">
        <v>208</v>
      </c>
      <c r="J5" s="115" t="s">
        <v>209</v>
      </c>
      <c r="K5" s="115" t="s">
        <v>210</v>
      </c>
      <c r="L5" s="115" t="s">
        <v>211</v>
      </c>
      <c r="M5" s="115" t="s">
        <v>212</v>
      </c>
    </row>
    <row r="6">
      <c r="A6" s="38" t="s">
        <v>213</v>
      </c>
      <c r="B6" s="47" t="s">
        <v>214</v>
      </c>
      <c r="C6" s="47" t="s">
        <v>83</v>
      </c>
      <c r="D6" s="116" t="s">
        <v>215</v>
      </c>
      <c r="E6" s="116">
        <v>4800000.0</v>
      </c>
      <c r="F6" s="47">
        <v>486.0</v>
      </c>
      <c r="G6" s="116">
        <f t="shared" ref="G6:G18" si="1">E6/F6</f>
        <v>9876.54321</v>
      </c>
      <c r="H6" s="117">
        <v>0.9</v>
      </c>
      <c r="I6" s="117">
        <v>1.0</v>
      </c>
      <c r="J6" s="117">
        <v>0.9</v>
      </c>
      <c r="K6" s="116">
        <f t="shared" ref="K6:K18" si="2">G6*H6/I6/J6</f>
        <v>9876.54321</v>
      </c>
      <c r="L6" s="118" t="s">
        <v>216</v>
      </c>
      <c r="M6" s="119" t="s">
        <v>217</v>
      </c>
    </row>
    <row r="7">
      <c r="A7" s="38" t="s">
        <v>218</v>
      </c>
      <c r="B7" s="47" t="s">
        <v>214</v>
      </c>
      <c r="C7" s="47">
        <v>2025.0</v>
      </c>
      <c r="D7" s="116" t="s">
        <v>215</v>
      </c>
      <c r="E7" s="116">
        <v>3800000.0</v>
      </c>
      <c r="F7" s="47">
        <v>412.0</v>
      </c>
      <c r="G7" s="116">
        <f t="shared" si="1"/>
        <v>9223.300971</v>
      </c>
      <c r="H7" s="117">
        <v>0.9</v>
      </c>
      <c r="I7" s="117">
        <v>1.0</v>
      </c>
      <c r="J7" s="117">
        <v>0.9</v>
      </c>
      <c r="K7" s="116">
        <f t="shared" si="2"/>
        <v>9223.300971</v>
      </c>
      <c r="L7" s="118" t="s">
        <v>216</v>
      </c>
      <c r="M7" s="119" t="s">
        <v>219</v>
      </c>
    </row>
    <row r="8">
      <c r="A8" s="38" t="s">
        <v>220</v>
      </c>
      <c r="B8" s="47" t="s">
        <v>214</v>
      </c>
      <c r="C8" s="47">
        <v>2025.0</v>
      </c>
      <c r="D8" s="116" t="s">
        <v>221</v>
      </c>
      <c r="E8" s="116">
        <v>2475000.0</v>
      </c>
      <c r="F8" s="47">
        <v>309.0</v>
      </c>
      <c r="G8" s="116">
        <f t="shared" si="1"/>
        <v>8009.708738</v>
      </c>
      <c r="H8" s="117">
        <v>0.8</v>
      </c>
      <c r="I8" s="117">
        <v>1.0</v>
      </c>
      <c r="J8" s="117">
        <v>0.9</v>
      </c>
      <c r="K8" s="116">
        <f t="shared" si="2"/>
        <v>7119.7411</v>
      </c>
      <c r="L8" s="118" t="s">
        <v>216</v>
      </c>
      <c r="M8" s="119" t="s">
        <v>222</v>
      </c>
    </row>
    <row r="9">
      <c r="A9" s="38" t="s">
        <v>223</v>
      </c>
      <c r="B9" s="47" t="s">
        <v>214</v>
      </c>
      <c r="C9" s="47">
        <v>2025.0</v>
      </c>
      <c r="D9" s="116" t="s">
        <v>221</v>
      </c>
      <c r="E9" s="116">
        <v>2800000.0</v>
      </c>
      <c r="F9" s="47">
        <v>341.0</v>
      </c>
      <c r="G9" s="116">
        <f t="shared" si="1"/>
        <v>8211.143695</v>
      </c>
      <c r="H9" s="117">
        <v>0.8</v>
      </c>
      <c r="I9" s="117">
        <v>1.0</v>
      </c>
      <c r="J9" s="117">
        <v>0.9</v>
      </c>
      <c r="K9" s="116">
        <f t="shared" si="2"/>
        <v>7298.794396</v>
      </c>
      <c r="L9" s="118" t="s">
        <v>216</v>
      </c>
      <c r="M9" s="119" t="s">
        <v>224</v>
      </c>
    </row>
    <row r="10">
      <c r="A10" s="38" t="s">
        <v>225</v>
      </c>
      <c r="B10" s="47" t="s">
        <v>226</v>
      </c>
      <c r="C10" s="47">
        <v>2023.0</v>
      </c>
      <c r="D10" s="116" t="s">
        <v>227</v>
      </c>
      <c r="E10" s="116">
        <v>7200000.0</v>
      </c>
      <c r="F10" s="47">
        <v>627.0</v>
      </c>
      <c r="G10" s="116">
        <f t="shared" si="1"/>
        <v>11483.25359</v>
      </c>
      <c r="H10" s="117">
        <v>1.0</v>
      </c>
      <c r="I10" s="117">
        <v>1.3</v>
      </c>
      <c r="J10" s="117">
        <v>1.0</v>
      </c>
      <c r="K10" s="116">
        <f t="shared" si="2"/>
        <v>8833.271991</v>
      </c>
      <c r="L10" s="118" t="s">
        <v>228</v>
      </c>
      <c r="M10" s="119" t="s">
        <v>229</v>
      </c>
    </row>
    <row r="11">
      <c r="A11" s="38" t="s">
        <v>230</v>
      </c>
      <c r="B11" s="120" t="s">
        <v>231</v>
      </c>
      <c r="C11" s="47">
        <v>2022.0</v>
      </c>
      <c r="D11" s="116" t="s">
        <v>227</v>
      </c>
      <c r="E11" s="116">
        <v>4500000.0</v>
      </c>
      <c r="F11" s="47">
        <v>439.0</v>
      </c>
      <c r="G11" s="116">
        <f t="shared" si="1"/>
        <v>10250.56948</v>
      </c>
      <c r="H11" s="117">
        <v>1.0</v>
      </c>
      <c r="I11" s="117">
        <v>1.3</v>
      </c>
      <c r="J11" s="117">
        <v>1.0</v>
      </c>
      <c r="K11" s="116">
        <f t="shared" si="2"/>
        <v>7885.053443</v>
      </c>
      <c r="L11" s="118" t="s">
        <v>228</v>
      </c>
      <c r="M11" s="119" t="s">
        <v>232</v>
      </c>
    </row>
    <row r="12">
      <c r="A12" s="38" t="s">
        <v>233</v>
      </c>
      <c r="B12" s="47" t="s">
        <v>234</v>
      </c>
      <c r="C12" s="47" t="s">
        <v>83</v>
      </c>
      <c r="D12" s="116" t="s">
        <v>235</v>
      </c>
      <c r="E12" s="116">
        <v>2450000.0</v>
      </c>
      <c r="F12" s="47">
        <v>420.0</v>
      </c>
      <c r="G12" s="116">
        <f t="shared" si="1"/>
        <v>5833.333333</v>
      </c>
      <c r="H12" s="117">
        <v>0.85</v>
      </c>
      <c r="I12" s="117">
        <v>0.95</v>
      </c>
      <c r="J12" s="117">
        <v>0.9</v>
      </c>
      <c r="K12" s="116">
        <f t="shared" si="2"/>
        <v>5799.220273</v>
      </c>
      <c r="L12" s="118" t="s">
        <v>236</v>
      </c>
      <c r="M12" s="119" t="s">
        <v>237</v>
      </c>
    </row>
    <row r="13">
      <c r="A13" s="38" t="s">
        <v>238</v>
      </c>
      <c r="B13" s="47" t="s">
        <v>214</v>
      </c>
      <c r="C13" s="47" t="s">
        <v>83</v>
      </c>
      <c r="D13" s="116" t="s">
        <v>235</v>
      </c>
      <c r="E13" s="116">
        <v>6500000.0</v>
      </c>
      <c r="F13" s="47">
        <v>660.0</v>
      </c>
      <c r="G13" s="116">
        <f t="shared" si="1"/>
        <v>9848.484848</v>
      </c>
      <c r="H13" s="117">
        <v>0.85</v>
      </c>
      <c r="I13" s="117">
        <v>1.0</v>
      </c>
      <c r="J13" s="117">
        <v>1.0</v>
      </c>
      <c r="K13" s="116">
        <f t="shared" si="2"/>
        <v>8371.212121</v>
      </c>
      <c r="L13" s="118" t="s">
        <v>216</v>
      </c>
      <c r="M13" s="118" t="s">
        <v>83</v>
      </c>
    </row>
    <row r="14">
      <c r="A14" s="38" t="s">
        <v>239</v>
      </c>
      <c r="B14" s="47" t="s">
        <v>214</v>
      </c>
      <c r="C14" s="47" t="s">
        <v>83</v>
      </c>
      <c r="D14" s="116" t="s">
        <v>221</v>
      </c>
      <c r="E14" s="116">
        <v>4295000.0</v>
      </c>
      <c r="F14" s="47">
        <v>516.0</v>
      </c>
      <c r="G14" s="116">
        <f t="shared" si="1"/>
        <v>8323.643411</v>
      </c>
      <c r="H14" s="117">
        <v>0.8</v>
      </c>
      <c r="I14" s="117">
        <v>1.0</v>
      </c>
      <c r="J14" s="117">
        <v>0.7</v>
      </c>
      <c r="K14" s="116">
        <f t="shared" si="2"/>
        <v>9512.735327</v>
      </c>
      <c r="L14" s="118" t="s">
        <v>216</v>
      </c>
      <c r="M14" s="119" t="s">
        <v>240</v>
      </c>
    </row>
    <row r="15">
      <c r="A15" s="38" t="s">
        <v>239</v>
      </c>
      <c r="B15" s="47" t="s">
        <v>214</v>
      </c>
      <c r="C15" s="47" t="s">
        <v>83</v>
      </c>
      <c r="D15" s="116" t="s">
        <v>221</v>
      </c>
      <c r="E15" s="116">
        <v>3450000.0</v>
      </c>
      <c r="F15" s="47">
        <v>706.0</v>
      </c>
      <c r="G15" s="116">
        <f t="shared" si="1"/>
        <v>4886.685552</v>
      </c>
      <c r="H15" s="117">
        <v>0.8</v>
      </c>
      <c r="I15" s="117">
        <v>1.0</v>
      </c>
      <c r="J15" s="117">
        <v>0.7</v>
      </c>
      <c r="K15" s="116">
        <f t="shared" si="2"/>
        <v>5584.783488</v>
      </c>
      <c r="L15" s="118" t="s">
        <v>216</v>
      </c>
      <c r="M15" s="119" t="s">
        <v>241</v>
      </c>
    </row>
    <row r="16">
      <c r="A16" s="38" t="s">
        <v>239</v>
      </c>
      <c r="B16" s="47" t="s">
        <v>214</v>
      </c>
      <c r="C16" s="47" t="s">
        <v>83</v>
      </c>
      <c r="D16" s="116" t="s">
        <v>221</v>
      </c>
      <c r="E16" s="116">
        <v>3000000.0</v>
      </c>
      <c r="F16" s="47">
        <v>400.0</v>
      </c>
      <c r="G16" s="116">
        <f t="shared" si="1"/>
        <v>7500</v>
      </c>
      <c r="H16" s="117">
        <v>0.8</v>
      </c>
      <c r="I16" s="117">
        <v>1.0</v>
      </c>
      <c r="J16" s="117">
        <v>0.7</v>
      </c>
      <c r="K16" s="116">
        <f t="shared" si="2"/>
        <v>8571.428571</v>
      </c>
      <c r="L16" s="118" t="s">
        <v>216</v>
      </c>
      <c r="M16" s="119" t="s">
        <v>242</v>
      </c>
    </row>
    <row r="17">
      <c r="A17" s="38" t="s">
        <v>239</v>
      </c>
      <c r="B17" s="47" t="s">
        <v>214</v>
      </c>
      <c r="C17" s="47" t="s">
        <v>83</v>
      </c>
      <c r="D17" s="116" t="s">
        <v>221</v>
      </c>
      <c r="E17" s="116">
        <v>4000000.0</v>
      </c>
      <c r="F17" s="47">
        <v>830.0</v>
      </c>
      <c r="G17" s="116">
        <f t="shared" si="1"/>
        <v>4819.277108</v>
      </c>
      <c r="H17" s="117">
        <v>0.8</v>
      </c>
      <c r="I17" s="117">
        <v>1.0</v>
      </c>
      <c r="J17" s="117">
        <v>0.7</v>
      </c>
      <c r="K17" s="116">
        <f t="shared" si="2"/>
        <v>5507.745267</v>
      </c>
      <c r="L17" s="118" t="s">
        <v>216</v>
      </c>
      <c r="M17" s="119" t="s">
        <v>243</v>
      </c>
    </row>
    <row r="18">
      <c r="A18" s="38" t="s">
        <v>244</v>
      </c>
      <c r="B18" s="47" t="s">
        <v>214</v>
      </c>
      <c r="C18" s="47">
        <v>2024.0</v>
      </c>
      <c r="D18" s="116" t="s">
        <v>227</v>
      </c>
      <c r="E18" s="116">
        <v>2500000.0</v>
      </c>
      <c r="F18" s="47">
        <v>450.0</v>
      </c>
      <c r="G18" s="116">
        <f t="shared" si="1"/>
        <v>5555.555556</v>
      </c>
      <c r="H18" s="117">
        <v>1.0</v>
      </c>
      <c r="I18" s="117">
        <v>1.0</v>
      </c>
      <c r="J18" s="117">
        <v>0.8</v>
      </c>
      <c r="K18" s="116">
        <f t="shared" si="2"/>
        <v>6944.444444</v>
      </c>
      <c r="L18" s="118" t="s">
        <v>216</v>
      </c>
      <c r="M18" s="118" t="s">
        <v>83</v>
      </c>
    </row>
    <row r="19">
      <c r="A19" s="38"/>
      <c r="B19" s="47"/>
      <c r="C19" s="47"/>
      <c r="D19" s="116"/>
      <c r="E19" s="116"/>
      <c r="F19" s="47"/>
      <c r="G19" s="116"/>
      <c r="H19" s="116"/>
      <c r="I19" s="116"/>
      <c r="J19" s="116"/>
      <c r="K19" s="116"/>
      <c r="L19" s="118"/>
      <c r="M19" s="118"/>
    </row>
    <row r="20">
      <c r="A20" s="38"/>
      <c r="B20" s="47"/>
      <c r="C20" s="47"/>
      <c r="D20" s="116"/>
      <c r="E20" s="116"/>
      <c r="F20" s="47"/>
      <c r="G20" s="116"/>
      <c r="H20" s="116"/>
      <c r="I20" s="116"/>
      <c r="J20" s="116" t="s">
        <v>245</v>
      </c>
      <c r="K20" s="121">
        <f>average(K6:K19)</f>
        <v>7732.9442</v>
      </c>
      <c r="L20" s="118"/>
      <c r="M20" s="118"/>
    </row>
    <row r="21">
      <c r="A21" s="38"/>
      <c r="B21" s="47"/>
      <c r="C21" s="47"/>
      <c r="D21" s="116"/>
      <c r="E21" s="116"/>
      <c r="F21" s="47"/>
      <c r="G21" s="116"/>
      <c r="H21" s="116"/>
      <c r="I21" s="116"/>
      <c r="J21" s="116" t="s">
        <v>246</v>
      </c>
      <c r="K21" s="121">
        <f>MEDIAN(K6:K18)</f>
        <v>7885.053443</v>
      </c>
      <c r="L21" s="118"/>
      <c r="M21" s="118"/>
    </row>
    <row r="22">
      <c r="A22" s="38"/>
      <c r="B22" s="47"/>
      <c r="C22" s="47"/>
      <c r="D22" s="116"/>
      <c r="E22" s="116"/>
      <c r="F22" s="47"/>
      <c r="G22" s="116"/>
      <c r="H22" s="116"/>
      <c r="I22" s="116"/>
      <c r="J22" s="116" t="s">
        <v>247</v>
      </c>
      <c r="K22" s="121">
        <f>max(K6:K18)</f>
        <v>9876.54321</v>
      </c>
      <c r="L22" s="118"/>
      <c r="M22" s="118"/>
    </row>
    <row r="23">
      <c r="A23" s="38"/>
      <c r="B23" s="47"/>
      <c r="C23" s="47"/>
      <c r="D23" s="116"/>
      <c r="E23" s="116"/>
      <c r="F23" s="47"/>
      <c r="G23" s="116"/>
      <c r="H23" s="116"/>
      <c r="I23" s="116"/>
      <c r="J23" s="116" t="s">
        <v>248</v>
      </c>
      <c r="K23" s="121">
        <f>min(K6:K18)</f>
        <v>5507.745267</v>
      </c>
      <c r="L23" s="118"/>
      <c r="M23" s="118"/>
    </row>
  </sheetData>
  <mergeCells count="1">
    <mergeCell ref="H4:J4"/>
  </mergeCells>
  <hyperlinks>
    <hyperlink r:id="rId1" ref="M6"/>
    <hyperlink r:id="rId2" ref="M7"/>
    <hyperlink r:id="rId3" ref="M8"/>
    <hyperlink r:id="rId4" ref="M9"/>
    <hyperlink r:id="rId5" ref="M10"/>
    <hyperlink r:id="rId6" ref="M11"/>
    <hyperlink r:id="rId7" ref="M12"/>
    <hyperlink r:id="rId8" ref="M14"/>
    <hyperlink r:id="rId9" ref="M15"/>
    <hyperlink r:id="rId10" ref="M16"/>
    <hyperlink r:id="rId11" ref="M17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1.25"/>
    <col customWidth="1" min="2" max="3" width="22.63"/>
  </cols>
  <sheetData>
    <row r="1">
      <c r="A1" s="37" t="s">
        <v>92</v>
      </c>
      <c r="B1" s="38" t="str">
        <f>Hypothesis!B1</f>
        <v>Villa Buganvilleas</v>
      </c>
      <c r="C1" s="38"/>
    </row>
    <row r="2">
      <c r="A2" s="37" t="s">
        <v>94</v>
      </c>
      <c r="B2" s="38" t="str">
        <f>Hypothesis!B2</f>
        <v>Buganvillas 14, 29018 Malaga</v>
      </c>
      <c r="C2" s="38"/>
    </row>
    <row r="3">
      <c r="A3" s="37" t="s">
        <v>96</v>
      </c>
      <c r="B3" s="38" t="str">
        <f>Hypothesis!B3</f>
        <v>Base case</v>
      </c>
      <c r="C3" s="38"/>
    </row>
    <row r="4">
      <c r="A4" s="39"/>
      <c r="B4" s="39"/>
      <c r="C4" s="39"/>
    </row>
    <row r="5">
      <c r="A5" s="37" t="s">
        <v>249</v>
      </c>
      <c r="B5" s="40"/>
      <c r="C5" s="40"/>
    </row>
    <row r="6">
      <c r="A6" s="42" t="s">
        <v>250</v>
      </c>
      <c r="B6" s="54"/>
      <c r="C6" s="54"/>
    </row>
    <row r="7">
      <c r="A7" s="38"/>
      <c r="B7" s="38"/>
      <c r="C7" s="38"/>
    </row>
    <row r="8">
      <c r="A8" s="122" t="s">
        <v>251</v>
      </c>
      <c r="B8" s="123">
        <v>3000.0</v>
      </c>
      <c r="C8" s="123"/>
    </row>
    <row r="9">
      <c r="A9" s="122" t="s">
        <v>252</v>
      </c>
      <c r="C9" s="123"/>
    </row>
    <row r="10">
      <c r="A10" s="122" t="s">
        <v>253</v>
      </c>
      <c r="B10" s="124">
        <f>C10*Hypothesis!B30</f>
        <v>43477.5</v>
      </c>
      <c r="C10" s="125">
        <v>0.03</v>
      </c>
    </row>
    <row r="11">
      <c r="A11" s="122" t="s">
        <v>254</v>
      </c>
      <c r="B11" s="124">
        <v>15000.0</v>
      </c>
      <c r="C11" s="124"/>
    </row>
    <row r="12">
      <c r="A12" s="122" t="s">
        <v>255</v>
      </c>
      <c r="C12" s="124"/>
    </row>
    <row r="13">
      <c r="A13" s="42" t="s">
        <v>31</v>
      </c>
      <c r="B13" s="43">
        <f>sum(B8:B12)</f>
        <v>61477.5</v>
      </c>
      <c r="C13" s="54"/>
    </row>
    <row r="14">
      <c r="A14" s="47"/>
      <c r="B14" s="46"/>
      <c r="C14" s="46"/>
    </row>
  </sheetData>
  <mergeCells count="2">
    <mergeCell ref="B8:B9"/>
    <mergeCell ref="B11:B12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2.63"/>
    <col customWidth="1" min="3" max="3" width="17.75"/>
    <col customWidth="1" min="6" max="6" width="31.25"/>
    <col customWidth="1" min="10" max="10" width="4.13"/>
    <col customWidth="1" min="11" max="11" width="32.5"/>
  </cols>
  <sheetData>
    <row r="1">
      <c r="A1" s="37" t="s">
        <v>92</v>
      </c>
      <c r="B1" s="38" t="s">
        <v>198</v>
      </c>
    </row>
    <row r="2">
      <c r="A2" s="37" t="s">
        <v>94</v>
      </c>
      <c r="B2" s="38" t="s">
        <v>199</v>
      </c>
    </row>
    <row r="3">
      <c r="A3" s="37" t="s">
        <v>96</v>
      </c>
      <c r="B3" s="38" t="s">
        <v>256</v>
      </c>
    </row>
    <row r="4">
      <c r="A4" s="39"/>
      <c r="B4" s="39"/>
    </row>
    <row r="5">
      <c r="A5" s="37" t="s">
        <v>117</v>
      </c>
      <c r="B5" s="114"/>
      <c r="C5" s="44"/>
      <c r="D5" s="44"/>
    </row>
    <row r="6">
      <c r="A6" s="38" t="s">
        <v>121</v>
      </c>
      <c r="B6" s="38" t="s">
        <v>257</v>
      </c>
      <c r="C6" s="44"/>
      <c r="D6" s="44"/>
    </row>
    <row r="7">
      <c r="A7" s="38" t="s">
        <v>124</v>
      </c>
      <c r="B7" s="44">
        <v>1006.75</v>
      </c>
      <c r="C7" s="49" t="s">
        <v>125</v>
      </c>
      <c r="D7" s="47"/>
    </row>
    <row r="8">
      <c r="A8" s="38" t="s">
        <v>126</v>
      </c>
      <c r="B8" s="44">
        <v>0.25</v>
      </c>
      <c r="C8" s="49"/>
      <c r="D8" s="126"/>
    </row>
    <row r="9">
      <c r="A9" s="38" t="s">
        <v>128</v>
      </c>
      <c r="B9" s="127">
        <f>B7*B8</f>
        <v>251.6875</v>
      </c>
      <c r="C9" s="49" t="s">
        <v>125</v>
      </c>
      <c r="D9" s="126"/>
    </row>
    <row r="10">
      <c r="A10" s="38" t="s">
        <v>129</v>
      </c>
      <c r="B10" s="39">
        <f>B11+B12</f>
        <v>503.38</v>
      </c>
      <c r="C10" s="49" t="s">
        <v>125</v>
      </c>
      <c r="D10" s="44"/>
    </row>
    <row r="11">
      <c r="A11" s="47" t="s">
        <v>130</v>
      </c>
      <c r="B11" s="38">
        <v>251.69</v>
      </c>
      <c r="C11" s="49" t="s">
        <v>125</v>
      </c>
      <c r="D11" s="44"/>
    </row>
    <row r="12">
      <c r="A12" s="47" t="s">
        <v>131</v>
      </c>
      <c r="B12" s="38">
        <v>251.69</v>
      </c>
      <c r="C12" s="49" t="s">
        <v>125</v>
      </c>
      <c r="D12" s="44"/>
    </row>
    <row r="13">
      <c r="A13" s="47" t="s">
        <v>132</v>
      </c>
      <c r="B13" s="44">
        <v>755.06</v>
      </c>
      <c r="C13" s="49" t="s">
        <v>125</v>
      </c>
      <c r="D13" s="44"/>
    </row>
    <row r="14">
      <c r="A14" s="38"/>
      <c r="B14" s="39"/>
      <c r="C14" s="44"/>
      <c r="D14" s="44"/>
    </row>
    <row r="15">
      <c r="A15" s="37" t="s">
        <v>133</v>
      </c>
      <c r="B15" s="40" t="s">
        <v>134</v>
      </c>
      <c r="C15" s="41" t="s">
        <v>119</v>
      </c>
      <c r="D15" s="44"/>
    </row>
    <row r="16">
      <c r="A16" s="38" t="s">
        <v>135</v>
      </c>
      <c r="B16" s="46">
        <f t="shared" ref="B16:B19" si="1">C16*$B$10</f>
        <v>2013520</v>
      </c>
      <c r="C16" s="128">
        <v>4000.0</v>
      </c>
      <c r="D16" s="44"/>
    </row>
    <row r="17">
      <c r="A17" s="38" t="s">
        <v>136</v>
      </c>
      <c r="B17" s="46">
        <f t="shared" si="1"/>
        <v>2265210</v>
      </c>
      <c r="C17" s="128">
        <v>4500.0</v>
      </c>
      <c r="D17" s="44"/>
    </row>
    <row r="18">
      <c r="A18" s="38" t="s">
        <v>137</v>
      </c>
      <c r="B18" s="46">
        <f t="shared" si="1"/>
        <v>2516900</v>
      </c>
      <c r="C18" s="128">
        <v>5000.0</v>
      </c>
      <c r="D18" s="44"/>
    </row>
    <row r="19">
      <c r="A19" s="38" t="s">
        <v>138</v>
      </c>
      <c r="B19" s="46">
        <f t="shared" si="1"/>
        <v>2768590</v>
      </c>
      <c r="C19" s="128">
        <v>5500.0</v>
      </c>
      <c r="D19" s="44"/>
    </row>
    <row r="20">
      <c r="A20" s="38"/>
      <c r="B20" s="44"/>
      <c r="C20" s="44"/>
      <c r="D20" s="44"/>
    </row>
    <row r="21">
      <c r="A21" s="37" t="s">
        <v>139</v>
      </c>
      <c r="B21" s="40" t="s">
        <v>140</v>
      </c>
      <c r="C21" s="41" t="s">
        <v>141</v>
      </c>
      <c r="D21" s="41" t="s">
        <v>142</v>
      </c>
      <c r="F21" s="37" t="s">
        <v>249</v>
      </c>
      <c r="G21" s="40" t="s">
        <v>140</v>
      </c>
      <c r="H21" s="41" t="s">
        <v>142</v>
      </c>
      <c r="K21" s="37" t="s">
        <v>258</v>
      </c>
      <c r="L21" s="40" t="s">
        <v>140</v>
      </c>
      <c r="M21" s="41" t="s">
        <v>142</v>
      </c>
    </row>
    <row r="22">
      <c r="A22" s="129" t="s">
        <v>143</v>
      </c>
      <c r="B22" s="130">
        <f>sum(B23:B26)</f>
        <v>599980</v>
      </c>
      <c r="C22" s="130">
        <f>B22/$B$7</f>
        <v>595.9572883</v>
      </c>
      <c r="D22" s="131"/>
      <c r="E22" s="21"/>
      <c r="F22" s="129" t="str">
        <f>A29&amp;" planned"</f>
        <v>Hard cost - construction costs planned</v>
      </c>
      <c r="G22" s="130">
        <f>B29</f>
        <v>1674996.95</v>
      </c>
      <c r="H22" s="130"/>
      <c r="I22" s="131"/>
      <c r="J22" s="21"/>
      <c r="K22" s="129" t="str">
        <f t="shared" ref="K22:L22" si="2">F22</f>
        <v>Hard cost - construction costs planned</v>
      </c>
      <c r="L22" s="130">
        <f t="shared" si="2"/>
        <v>1674996.95</v>
      </c>
      <c r="M22" s="130"/>
      <c r="N22" s="13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47" t="s">
        <v>144</v>
      </c>
      <c r="B23" s="46">
        <v>540000.0</v>
      </c>
      <c r="C23" s="46"/>
      <c r="D23" s="48"/>
      <c r="E23" s="21"/>
      <c r="F23" s="129" t="s">
        <v>259</v>
      </c>
      <c r="G23" s="130">
        <f>G22*H23</f>
        <v>83749.8475</v>
      </c>
      <c r="H23" s="132">
        <v>0.05</v>
      </c>
      <c r="I23" s="47" t="s">
        <v>260</v>
      </c>
      <c r="J23" s="21"/>
      <c r="K23" s="129" t="s">
        <v>261</v>
      </c>
      <c r="L23" s="130">
        <v>1450000.0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47" t="s">
        <v>145</v>
      </c>
      <c r="B24" s="46">
        <f>B23*D24</f>
        <v>37800</v>
      </c>
      <c r="C24" s="46"/>
      <c r="D24" s="48">
        <v>0.07</v>
      </c>
      <c r="E24" s="21"/>
      <c r="F24" s="129" t="s">
        <v>262</v>
      </c>
      <c r="G24" s="46"/>
      <c r="H24" s="132">
        <v>0.15</v>
      </c>
      <c r="I24" s="47" t="s">
        <v>263</v>
      </c>
      <c r="J24" s="21"/>
      <c r="K24" s="129" t="s">
        <v>259</v>
      </c>
      <c r="L24" s="130">
        <f>L22*M24</f>
        <v>83749.8475</v>
      </c>
      <c r="M24" s="132">
        <v>0.05</v>
      </c>
      <c r="N24" s="13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47" t="s">
        <v>147</v>
      </c>
      <c r="B25" s="46">
        <v>2200.0</v>
      </c>
      <c r="C25" s="46"/>
      <c r="D25" s="48">
        <f>B25/B22</f>
        <v>0.003666788893</v>
      </c>
      <c r="E25" s="21"/>
      <c r="F25" s="129" t="s">
        <v>264</v>
      </c>
      <c r="G25" s="21"/>
      <c r="H25" s="21"/>
      <c r="I25" s="47" t="s">
        <v>265</v>
      </c>
      <c r="J25" s="21"/>
      <c r="K25" s="129" t="s">
        <v>262</v>
      </c>
      <c r="L25" s="130">
        <f>M25*(L22-L23)</f>
        <v>33749.5425</v>
      </c>
      <c r="M25" s="132">
        <v>0.15</v>
      </c>
      <c r="N25" s="47" t="s">
        <v>263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47" t="s">
        <v>148</v>
      </c>
      <c r="B26" s="46">
        <f>B23*D26</f>
        <v>19980</v>
      </c>
      <c r="C26" s="46"/>
      <c r="D26" s="48">
        <v>0.037</v>
      </c>
      <c r="E26" s="21"/>
      <c r="H26" s="21"/>
      <c r="I26" s="21"/>
      <c r="J26" s="21"/>
      <c r="K26" s="129" t="s">
        <v>264</v>
      </c>
      <c r="L26" s="130">
        <v>4000.0</v>
      </c>
      <c r="M26" s="21"/>
      <c r="N26" s="47" t="s">
        <v>265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129" t="s">
        <v>149</v>
      </c>
      <c r="B27" s="130">
        <f>B22*D27</f>
        <v>17999.4</v>
      </c>
      <c r="C27" s="130"/>
      <c r="D27" s="48">
        <v>0.03</v>
      </c>
      <c r="E27" s="21"/>
      <c r="F27" s="129" t="s">
        <v>266</v>
      </c>
      <c r="G27" s="21"/>
      <c r="H27" s="21"/>
      <c r="I27" s="21"/>
      <c r="J27" s="21"/>
      <c r="K27" s="133" t="s">
        <v>267</v>
      </c>
      <c r="L27" s="134">
        <f>L24+L25+L26</f>
        <v>121499.39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29" t="s">
        <v>150</v>
      </c>
      <c r="B28" s="130">
        <v>0.0</v>
      </c>
      <c r="C28" s="130">
        <v>0.0</v>
      </c>
      <c r="D28" s="131">
        <v>0.0</v>
      </c>
      <c r="E28" s="21"/>
      <c r="F28" s="38" t="s">
        <v>268</v>
      </c>
      <c r="G28" s="135">
        <v>0.1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29" t="s">
        <v>151</v>
      </c>
      <c r="B29" s="130">
        <f>sum(B30:B32)</f>
        <v>1674996.95</v>
      </c>
      <c r="C29" s="130">
        <f>B29/$B$10</f>
        <v>3327.5</v>
      </c>
      <c r="D29" s="131"/>
      <c r="E29" s="21"/>
      <c r="F29" s="38" t="s">
        <v>269</v>
      </c>
      <c r="G29" s="135">
        <v>0.1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47" t="s">
        <v>152</v>
      </c>
      <c r="B30" s="46">
        <f t="shared" ref="B30:B31" si="3">C30*$B$10</f>
        <v>1384295</v>
      </c>
      <c r="C30" s="128">
        <v>2750.0</v>
      </c>
      <c r="D30" s="44"/>
      <c r="F30" s="38" t="s">
        <v>270</v>
      </c>
      <c r="G30" s="135">
        <v>0.15</v>
      </c>
    </row>
    <row r="31">
      <c r="A31" s="47" t="s">
        <v>153</v>
      </c>
      <c r="B31" s="46">
        <f t="shared" si="3"/>
        <v>138429.5</v>
      </c>
      <c r="C31" s="46">
        <f>C30*D31</f>
        <v>275</v>
      </c>
      <c r="D31" s="135">
        <v>0.1</v>
      </c>
      <c r="F31" s="38" t="s">
        <v>271</v>
      </c>
      <c r="G31" s="135">
        <v>0.3</v>
      </c>
    </row>
    <row r="32">
      <c r="A32" s="47" t="s">
        <v>154</v>
      </c>
      <c r="B32" s="46">
        <f>D32*(B30+B31)</f>
        <v>152272.45</v>
      </c>
      <c r="C32" s="46">
        <f>B32/$B$10</f>
        <v>302.5</v>
      </c>
      <c r="D32" s="135">
        <v>0.1</v>
      </c>
      <c r="F32" s="38" t="s">
        <v>272</v>
      </c>
      <c r="G32" s="135">
        <v>0.15</v>
      </c>
    </row>
    <row r="33">
      <c r="A33" s="129" t="s">
        <v>155</v>
      </c>
      <c r="B33" s="130">
        <f>D33*B29</f>
        <v>83749.8475</v>
      </c>
      <c r="C33" s="130"/>
      <c r="D33" s="132">
        <v>0.05</v>
      </c>
      <c r="E33" s="21"/>
      <c r="F33" s="38" t="s">
        <v>273</v>
      </c>
      <c r="G33" s="135">
        <v>0.2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129" t="s">
        <v>156</v>
      </c>
      <c r="B34" s="130">
        <f>sum(B35:B38)</f>
        <v>351749.3595</v>
      </c>
      <c r="C34" s="130">
        <f>B34/B10</f>
        <v>698.775</v>
      </c>
      <c r="D34" s="132">
        <v>0.1</v>
      </c>
      <c r="E34" s="21"/>
      <c r="G34" s="132">
        <f>SUM(G28:G33)</f>
        <v>1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47" t="s">
        <v>26</v>
      </c>
      <c r="B35" s="9">
        <f t="shared" ref="B35:B38" si="4">D35*$B$29</f>
        <v>167499.695</v>
      </c>
      <c r="C35" s="46">
        <f t="shared" ref="C35:C38" si="5">$C$30*D35</f>
        <v>275</v>
      </c>
      <c r="D35" s="135">
        <v>0.1</v>
      </c>
    </row>
    <row r="36">
      <c r="A36" s="47" t="s">
        <v>51</v>
      </c>
      <c r="B36" s="9">
        <f t="shared" si="4"/>
        <v>83749.8475</v>
      </c>
      <c r="C36" s="46">
        <f t="shared" si="5"/>
        <v>137.5</v>
      </c>
      <c r="D36" s="135">
        <v>0.05</v>
      </c>
      <c r="F36" s="38"/>
    </row>
    <row r="37">
      <c r="A37" s="47" t="s">
        <v>28</v>
      </c>
      <c r="B37" s="9">
        <f t="shared" si="4"/>
        <v>50249.9085</v>
      </c>
      <c r="C37" s="46">
        <f t="shared" si="5"/>
        <v>82.5</v>
      </c>
      <c r="D37" s="135">
        <v>0.03</v>
      </c>
    </row>
    <row r="38">
      <c r="A38" s="47" t="s">
        <v>29</v>
      </c>
      <c r="B38" s="9">
        <f t="shared" si="4"/>
        <v>50249.9085</v>
      </c>
      <c r="C38" s="46">
        <f t="shared" si="5"/>
        <v>82.5</v>
      </c>
      <c r="D38" s="135">
        <v>0.03</v>
      </c>
    </row>
    <row r="39">
      <c r="A39" s="47"/>
      <c r="B39" s="9"/>
      <c r="C39" s="46"/>
      <c r="D39" s="135"/>
    </row>
    <row r="40">
      <c r="A40" s="42" t="s">
        <v>31</v>
      </c>
      <c r="B40" s="43">
        <f>B22+B27+B28+B29+B33+B34</f>
        <v>2728475.557</v>
      </c>
      <c r="C40" s="43">
        <f>B40/B10</f>
        <v>5420.30982</v>
      </c>
      <c r="D40" s="136">
        <f>B40/B19</f>
        <v>0.9855108763</v>
      </c>
    </row>
    <row r="41">
      <c r="C41" s="44"/>
      <c r="D41" s="44"/>
    </row>
    <row r="42">
      <c r="A42" s="37" t="s">
        <v>160</v>
      </c>
      <c r="B42" s="40" t="s">
        <v>161</v>
      </c>
      <c r="C42" s="40" t="s">
        <v>162</v>
      </c>
      <c r="D42" s="41"/>
    </row>
    <row r="43">
      <c r="A43" s="137" t="str">
        <f t="shared" ref="A43:A46" si="6">A16</f>
        <v>I. Villa sale (without licence)</v>
      </c>
      <c r="B43" s="138">
        <f t="shared" ref="B43:B46" si="7">B16-$B$40</f>
        <v>-714955.557</v>
      </c>
      <c r="C43" s="135">
        <f t="shared" ref="C43:C46" si="8">B43/B16</f>
        <v>-0.3550774549</v>
      </c>
      <c r="D43" s="8"/>
      <c r="E43" s="9"/>
      <c r="F43" s="139"/>
      <c r="G43" s="11"/>
    </row>
    <row r="44">
      <c r="A44" s="137" t="str">
        <f t="shared" si="6"/>
        <v>II. Villa sale (with licence)</v>
      </c>
      <c r="B44" s="138">
        <f t="shared" si="7"/>
        <v>-463265.557</v>
      </c>
      <c r="C44" s="135">
        <f t="shared" si="8"/>
        <v>-0.2045132932</v>
      </c>
      <c r="D44" s="8"/>
      <c r="E44" s="9"/>
      <c r="F44" s="139"/>
      <c r="G44" s="11"/>
    </row>
    <row r="45">
      <c r="A45" s="137" t="str">
        <f t="shared" si="6"/>
        <v>III. Villa sale (construction started)</v>
      </c>
      <c r="B45" s="138">
        <f t="shared" si="7"/>
        <v>-211575.557</v>
      </c>
      <c r="C45" s="135">
        <f t="shared" si="8"/>
        <v>-0.08406196392</v>
      </c>
      <c r="D45" s="8"/>
      <c r="E45" s="9"/>
      <c r="F45" s="139"/>
      <c r="G45" s="11"/>
    </row>
    <row r="46">
      <c r="A46" s="137" t="str">
        <f t="shared" si="6"/>
        <v>IV. Villa sale (construction finalized)</v>
      </c>
      <c r="B46" s="138">
        <f t="shared" si="7"/>
        <v>40114.443</v>
      </c>
      <c r="C46" s="135">
        <f t="shared" si="8"/>
        <v>0.01448912371</v>
      </c>
      <c r="D46" s="8"/>
      <c r="E46" s="9"/>
      <c r="F46" s="139"/>
      <c r="G46" s="11"/>
    </row>
    <row r="48">
      <c r="A48" s="37" t="s">
        <v>163</v>
      </c>
      <c r="B48" s="40" t="s">
        <v>98</v>
      </c>
      <c r="C48" s="40" t="s">
        <v>164</v>
      </c>
      <c r="D48" s="41"/>
    </row>
    <row r="49">
      <c r="A49" s="1" t="s">
        <v>165</v>
      </c>
      <c r="B49" s="138">
        <f>B19</f>
        <v>2768590</v>
      </c>
      <c r="C49" s="140">
        <f>B49/B49</f>
        <v>1</v>
      </c>
    </row>
    <row r="50">
      <c r="A50" s="1" t="s">
        <v>166</v>
      </c>
      <c r="B50" s="138">
        <f>B40</f>
        <v>2728475.557</v>
      </c>
      <c r="C50" s="140">
        <f t="shared" ref="C50:C51" si="9">B50/$B$49</f>
        <v>0.9855108763</v>
      </c>
    </row>
    <row r="51">
      <c r="A51" s="2" t="s">
        <v>167</v>
      </c>
      <c r="B51" s="141">
        <f>B49-B50</f>
        <v>40114.443</v>
      </c>
      <c r="C51" s="142">
        <f t="shared" si="9"/>
        <v>0.01448912371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3">
      <c r="A53" s="1" t="s">
        <v>168</v>
      </c>
      <c r="B53" s="138">
        <f>C53*$B$49</f>
        <v>110743.6</v>
      </c>
      <c r="C53" s="5">
        <v>0.04</v>
      </c>
    </row>
    <row r="54">
      <c r="A54" s="2" t="s">
        <v>169</v>
      </c>
      <c r="B54" s="141">
        <f>B51-B53</f>
        <v>-70629.157</v>
      </c>
      <c r="C54" s="142">
        <f>B54/$B$49</f>
        <v>-0.02551087629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6">
      <c r="A56" s="1" t="s">
        <v>170</v>
      </c>
      <c r="B56" s="138">
        <f>C56*$B$49</f>
        <v>138429.5</v>
      </c>
      <c r="C56" s="5">
        <v>0.05</v>
      </c>
    </row>
    <row r="57">
      <c r="A57" s="2" t="s">
        <v>171</v>
      </c>
      <c r="B57" s="141">
        <f>B54-B56</f>
        <v>-209058.657</v>
      </c>
      <c r="C57" s="142">
        <f>B57/$B$49</f>
        <v>-0.07551087629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9">
      <c r="A59" s="1" t="s">
        <v>172</v>
      </c>
      <c r="B59" s="138">
        <f>D59*B51</f>
        <v>10028.61075</v>
      </c>
      <c r="C59" s="5">
        <f>B59/B49</f>
        <v>0.003622280926</v>
      </c>
      <c r="D59" s="143">
        <v>0.25</v>
      </c>
      <c r="E59" s="144" t="s">
        <v>173</v>
      </c>
    </row>
    <row r="60">
      <c r="A60" s="2" t="s">
        <v>174</v>
      </c>
      <c r="B60" s="141">
        <f>B57-B59</f>
        <v>-219087.2678</v>
      </c>
      <c r="C60" s="142">
        <f>B60/$B$49</f>
        <v>-0.07913315722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2">
      <c r="A62" s="37" t="s">
        <v>274</v>
      </c>
      <c r="B62" s="40"/>
      <c r="C62" s="41"/>
      <c r="D62" s="41"/>
    </row>
    <row r="63">
      <c r="A63" s="1" t="s">
        <v>112</v>
      </c>
      <c r="B63" s="138">
        <f>B22+B27+B28+B33+B34</f>
        <v>1053478.607</v>
      </c>
    </row>
    <row r="64">
      <c r="A64" s="1" t="s">
        <v>275</v>
      </c>
      <c r="B64" s="138">
        <f>B60</f>
        <v>-219087.2678</v>
      </c>
    </row>
    <row r="65">
      <c r="A65" s="2" t="s">
        <v>183</v>
      </c>
      <c r="B65" s="145">
        <f>B64/B63</f>
        <v>-0.2079655593</v>
      </c>
    </row>
    <row r="67">
      <c r="A67" s="37" t="s">
        <v>177</v>
      </c>
      <c r="B67" s="40" t="s">
        <v>98</v>
      </c>
      <c r="C67" s="40" t="s">
        <v>142</v>
      </c>
      <c r="D67" s="41"/>
    </row>
    <row r="68">
      <c r="A68" s="1" t="s">
        <v>178</v>
      </c>
      <c r="B68" s="138">
        <f>B49</f>
        <v>2768590</v>
      </c>
    </row>
    <row r="69">
      <c r="A69" s="1" t="s">
        <v>179</v>
      </c>
      <c r="B69" s="138">
        <f>B50+B53+B56</f>
        <v>2977648.657</v>
      </c>
    </row>
    <row r="70">
      <c r="A70" s="1" t="s">
        <v>180</v>
      </c>
      <c r="B70" s="138">
        <f>B60</f>
        <v>-219087.2678</v>
      </c>
    </row>
    <row r="71">
      <c r="A71" s="1" t="s">
        <v>181</v>
      </c>
      <c r="B71" s="138">
        <f>sum(B72:B73)</f>
        <v>834391.3393</v>
      </c>
    </row>
    <row r="72">
      <c r="A72" s="47" t="s">
        <v>112</v>
      </c>
      <c r="B72" s="138">
        <f>B22+B27+B28+B33+B34</f>
        <v>1053478.607</v>
      </c>
    </row>
    <row r="73">
      <c r="A73" s="47" t="s">
        <v>182</v>
      </c>
      <c r="B73" s="138">
        <f>B70</f>
        <v>-219087.2678</v>
      </c>
    </row>
    <row r="74">
      <c r="A74" s="1" t="s">
        <v>183</v>
      </c>
      <c r="B74" s="145">
        <f>B70/B72</f>
        <v>-0.2079655593</v>
      </c>
    </row>
    <row r="75">
      <c r="A75" s="1" t="s">
        <v>184</v>
      </c>
      <c r="B75" s="142">
        <f>IRR(B76:B78)</f>
        <v>-0.1100368318</v>
      </c>
    </row>
    <row r="76">
      <c r="A76" s="1">
        <v>2026.0</v>
      </c>
      <c r="B76" s="138">
        <f>-(B22+B27+B33+B34)</f>
        <v>-1053478.607</v>
      </c>
      <c r="C76" s="144" t="s">
        <v>185</v>
      </c>
    </row>
    <row r="77">
      <c r="A77" s="1">
        <v>2027.0</v>
      </c>
      <c r="B77" s="1">
        <v>0.0</v>
      </c>
      <c r="C77" s="144" t="s">
        <v>186</v>
      </c>
    </row>
    <row r="78">
      <c r="A78" s="1">
        <v>2028.0</v>
      </c>
      <c r="B78" s="138">
        <f>B71</f>
        <v>834391.3393</v>
      </c>
      <c r="C78" s="144" t="s">
        <v>187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2.63"/>
    <col customWidth="1" min="3" max="3" width="17.75"/>
    <col customWidth="1" min="6" max="6" width="31.25"/>
    <col customWidth="1" min="10" max="10" width="4.13"/>
    <col customWidth="1" min="11" max="11" width="32.5"/>
  </cols>
  <sheetData>
    <row r="1">
      <c r="A1" s="37" t="s">
        <v>92</v>
      </c>
      <c r="B1" s="38" t="s">
        <v>198</v>
      </c>
    </row>
    <row r="2">
      <c r="A2" s="37" t="s">
        <v>94</v>
      </c>
      <c r="B2" s="38" t="s">
        <v>199</v>
      </c>
    </row>
    <row r="3">
      <c r="A3" s="37" t="s">
        <v>96</v>
      </c>
      <c r="B3" s="38" t="s">
        <v>276</v>
      </c>
    </row>
    <row r="4">
      <c r="A4" s="39"/>
      <c r="B4" s="39"/>
    </row>
    <row r="5">
      <c r="A5" s="37" t="s">
        <v>117</v>
      </c>
      <c r="B5" s="114"/>
      <c r="C5" s="44"/>
      <c r="D5" s="44"/>
    </row>
    <row r="6">
      <c r="A6" s="38" t="s">
        <v>121</v>
      </c>
      <c r="B6" s="38" t="s">
        <v>257</v>
      </c>
      <c r="C6" s="44"/>
      <c r="D6" s="44"/>
    </row>
    <row r="7">
      <c r="A7" s="38" t="s">
        <v>124</v>
      </c>
      <c r="B7" s="44">
        <v>1006.75</v>
      </c>
      <c r="C7" s="49" t="s">
        <v>125</v>
      </c>
      <c r="D7" s="47"/>
    </row>
    <row r="8">
      <c r="A8" s="38" t="s">
        <v>126</v>
      </c>
      <c r="B8" s="44">
        <v>0.25</v>
      </c>
      <c r="C8" s="49"/>
      <c r="D8" s="126"/>
    </row>
    <row r="9">
      <c r="A9" s="38" t="s">
        <v>128</v>
      </c>
      <c r="B9" s="127">
        <f>B7*B8</f>
        <v>251.6875</v>
      </c>
      <c r="C9" s="49" t="s">
        <v>125</v>
      </c>
      <c r="D9" s="126"/>
    </row>
    <row r="10">
      <c r="A10" s="38" t="s">
        <v>129</v>
      </c>
      <c r="B10" s="39">
        <f>B11+B12</f>
        <v>503.38</v>
      </c>
      <c r="C10" s="49" t="s">
        <v>125</v>
      </c>
      <c r="D10" s="44"/>
    </row>
    <row r="11">
      <c r="A11" s="47" t="s">
        <v>130</v>
      </c>
      <c r="B11" s="38">
        <v>251.69</v>
      </c>
      <c r="C11" s="49" t="s">
        <v>125</v>
      </c>
      <c r="D11" s="44"/>
    </row>
    <row r="12">
      <c r="A12" s="47" t="s">
        <v>131</v>
      </c>
      <c r="B12" s="38">
        <v>251.69</v>
      </c>
      <c r="C12" s="49" t="s">
        <v>125</v>
      </c>
      <c r="D12" s="44"/>
    </row>
    <row r="13">
      <c r="A13" s="47" t="s">
        <v>132</v>
      </c>
      <c r="B13" s="44">
        <v>755.06</v>
      </c>
      <c r="C13" s="49" t="s">
        <v>125</v>
      </c>
      <c r="D13" s="44"/>
    </row>
    <row r="14">
      <c r="A14" s="38"/>
      <c r="B14" s="39"/>
      <c r="C14" s="44"/>
      <c r="D14" s="44"/>
    </row>
    <row r="15">
      <c r="A15" s="37" t="s">
        <v>133</v>
      </c>
      <c r="B15" s="40" t="s">
        <v>134</v>
      </c>
      <c r="C15" s="41" t="s">
        <v>119</v>
      </c>
      <c r="D15" s="44"/>
    </row>
    <row r="16">
      <c r="A16" s="38" t="s">
        <v>135</v>
      </c>
      <c r="B16" s="46">
        <f t="shared" ref="B16:B19" si="1">C16*$B$10</f>
        <v>2768590</v>
      </c>
      <c r="C16" s="146">
        <v>5500.0</v>
      </c>
      <c r="D16" s="44"/>
    </row>
    <row r="17">
      <c r="A17" s="38" t="s">
        <v>136</v>
      </c>
      <c r="B17" s="46">
        <f t="shared" si="1"/>
        <v>3271970</v>
      </c>
      <c r="C17" s="146">
        <v>6500.0</v>
      </c>
      <c r="D17" s="44"/>
    </row>
    <row r="18">
      <c r="A18" s="38" t="s">
        <v>137</v>
      </c>
      <c r="B18" s="46">
        <f t="shared" si="1"/>
        <v>3775350</v>
      </c>
      <c r="C18" s="146">
        <v>7500.0</v>
      </c>
      <c r="D18" s="44"/>
    </row>
    <row r="19">
      <c r="A19" s="38" t="s">
        <v>138</v>
      </c>
      <c r="B19" s="46">
        <f t="shared" si="1"/>
        <v>4530420</v>
      </c>
      <c r="C19" s="147">
        <v>9000.0</v>
      </c>
      <c r="D19" s="44"/>
    </row>
    <row r="20">
      <c r="A20" s="38"/>
      <c r="B20" s="44"/>
      <c r="C20" s="44"/>
      <c r="D20" s="44"/>
    </row>
    <row r="21">
      <c r="A21" s="37" t="s">
        <v>139</v>
      </c>
      <c r="B21" s="40" t="s">
        <v>140</v>
      </c>
      <c r="C21" s="41" t="s">
        <v>141</v>
      </c>
      <c r="D21" s="41" t="s">
        <v>142</v>
      </c>
      <c r="F21" s="37" t="s">
        <v>249</v>
      </c>
      <c r="G21" s="40" t="s">
        <v>140</v>
      </c>
      <c r="H21" s="41" t="s">
        <v>142</v>
      </c>
      <c r="K21" s="37" t="s">
        <v>258</v>
      </c>
      <c r="L21" s="40" t="s">
        <v>140</v>
      </c>
      <c r="M21" s="41" t="s">
        <v>142</v>
      </c>
    </row>
    <row r="22">
      <c r="A22" s="129" t="s">
        <v>143</v>
      </c>
      <c r="B22" s="130">
        <f>sum(B23:B26)</f>
        <v>599980</v>
      </c>
      <c r="C22" s="130">
        <f>B22/$B$7</f>
        <v>595.9572883</v>
      </c>
      <c r="D22" s="131"/>
      <c r="E22" s="21"/>
      <c r="F22" s="129" t="str">
        <f>A29&amp;" planned"</f>
        <v>Hard cost - construction costs planned</v>
      </c>
      <c r="G22" s="130">
        <f>B29</f>
        <v>1674996.95</v>
      </c>
      <c r="H22" s="130"/>
      <c r="I22" s="131"/>
      <c r="J22" s="21"/>
      <c r="K22" s="129" t="str">
        <f t="shared" ref="K22:L22" si="2">F22</f>
        <v>Hard cost - construction costs planned</v>
      </c>
      <c r="L22" s="130">
        <f t="shared" si="2"/>
        <v>1674996.95</v>
      </c>
      <c r="M22" s="130"/>
      <c r="N22" s="13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47" t="s">
        <v>144</v>
      </c>
      <c r="B23" s="46">
        <v>540000.0</v>
      </c>
      <c r="C23" s="46"/>
      <c r="D23" s="48"/>
      <c r="E23" s="21"/>
      <c r="F23" s="129" t="s">
        <v>259</v>
      </c>
      <c r="G23" s="130">
        <f>G22*H23</f>
        <v>83749.8475</v>
      </c>
      <c r="H23" s="132">
        <v>0.05</v>
      </c>
      <c r="I23" s="47" t="s">
        <v>260</v>
      </c>
      <c r="J23" s="21"/>
      <c r="K23" s="129" t="s">
        <v>261</v>
      </c>
      <c r="L23" s="130">
        <v>1450000.0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47" t="s">
        <v>145</v>
      </c>
      <c r="B24" s="46">
        <f>B23*D24</f>
        <v>37800</v>
      </c>
      <c r="C24" s="46"/>
      <c r="D24" s="48">
        <v>0.07</v>
      </c>
      <c r="E24" s="21"/>
      <c r="F24" s="129" t="s">
        <v>262</v>
      </c>
      <c r="G24" s="46"/>
      <c r="H24" s="132">
        <v>0.15</v>
      </c>
      <c r="I24" s="47" t="s">
        <v>263</v>
      </c>
      <c r="J24" s="21"/>
      <c r="K24" s="129" t="s">
        <v>259</v>
      </c>
      <c r="L24" s="130">
        <f>L22*M24</f>
        <v>83749.8475</v>
      </c>
      <c r="M24" s="132">
        <v>0.05</v>
      </c>
      <c r="N24" s="13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47" t="s">
        <v>147</v>
      </c>
      <c r="B25" s="46">
        <v>2200.0</v>
      </c>
      <c r="C25" s="46"/>
      <c r="D25" s="48">
        <f>B25/B22</f>
        <v>0.003666788893</v>
      </c>
      <c r="E25" s="21"/>
      <c r="F25" s="129" t="s">
        <v>264</v>
      </c>
      <c r="G25" s="21"/>
      <c r="H25" s="21"/>
      <c r="I25" s="47" t="s">
        <v>265</v>
      </c>
      <c r="J25" s="21"/>
      <c r="K25" s="129" t="s">
        <v>262</v>
      </c>
      <c r="L25" s="130">
        <f>M25*(L22-L23)</f>
        <v>33749.5425</v>
      </c>
      <c r="M25" s="132">
        <v>0.15</v>
      </c>
      <c r="N25" s="47" t="s">
        <v>263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47" t="s">
        <v>148</v>
      </c>
      <c r="B26" s="46">
        <f>B23*D26</f>
        <v>19980</v>
      </c>
      <c r="C26" s="46"/>
      <c r="D26" s="48">
        <v>0.037</v>
      </c>
      <c r="E26" s="21"/>
      <c r="H26" s="21"/>
      <c r="I26" s="21"/>
      <c r="J26" s="21"/>
      <c r="K26" s="129" t="s">
        <v>264</v>
      </c>
      <c r="L26" s="130">
        <v>4000.0</v>
      </c>
      <c r="M26" s="21"/>
      <c r="N26" s="47" t="s">
        <v>265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129" t="s">
        <v>149</v>
      </c>
      <c r="B27" s="130">
        <f>B22*D27</f>
        <v>17999.4</v>
      </c>
      <c r="C27" s="130"/>
      <c r="D27" s="48">
        <v>0.03</v>
      </c>
      <c r="E27" s="21"/>
      <c r="F27" s="129" t="s">
        <v>266</v>
      </c>
      <c r="G27" s="21"/>
      <c r="H27" s="21"/>
      <c r="I27" s="21"/>
      <c r="J27" s="21"/>
      <c r="K27" s="133" t="s">
        <v>267</v>
      </c>
      <c r="L27" s="134">
        <f>L24+L25+L26</f>
        <v>121499.39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29" t="s">
        <v>150</v>
      </c>
      <c r="B28" s="130">
        <v>0.0</v>
      </c>
      <c r="C28" s="130">
        <v>0.0</v>
      </c>
      <c r="D28" s="131">
        <v>0.0</v>
      </c>
      <c r="E28" s="21"/>
      <c r="F28" s="38" t="s">
        <v>268</v>
      </c>
      <c r="G28" s="135">
        <v>0.1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129" t="s">
        <v>151</v>
      </c>
      <c r="B29" s="130">
        <f>sum(B30:B32)</f>
        <v>1674996.95</v>
      </c>
      <c r="C29" s="130">
        <f>B29/$B$10</f>
        <v>3327.5</v>
      </c>
      <c r="D29" s="131"/>
      <c r="E29" s="21"/>
      <c r="F29" s="38" t="s">
        <v>269</v>
      </c>
      <c r="G29" s="135">
        <v>0.1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47" t="s">
        <v>152</v>
      </c>
      <c r="B30" s="46">
        <f t="shared" ref="B30:B31" si="3">C30*$B$10</f>
        <v>1384295</v>
      </c>
      <c r="C30" s="128">
        <v>2750.0</v>
      </c>
      <c r="D30" s="44"/>
      <c r="F30" s="38" t="s">
        <v>270</v>
      </c>
      <c r="G30" s="135">
        <v>0.15</v>
      </c>
    </row>
    <row r="31">
      <c r="A31" s="47" t="s">
        <v>153</v>
      </c>
      <c r="B31" s="46">
        <f t="shared" si="3"/>
        <v>138429.5</v>
      </c>
      <c r="C31" s="46">
        <f>C30*D31</f>
        <v>275</v>
      </c>
      <c r="D31" s="135">
        <v>0.1</v>
      </c>
      <c r="F31" s="38" t="s">
        <v>271</v>
      </c>
      <c r="G31" s="135">
        <v>0.3</v>
      </c>
    </row>
    <row r="32">
      <c r="A32" s="47" t="s">
        <v>154</v>
      </c>
      <c r="B32" s="46">
        <f>D32*(B30+B31)</f>
        <v>152272.45</v>
      </c>
      <c r="C32" s="46">
        <f>B32/$B$10</f>
        <v>302.5</v>
      </c>
      <c r="D32" s="135">
        <v>0.1</v>
      </c>
      <c r="F32" s="38" t="s">
        <v>272</v>
      </c>
      <c r="G32" s="135">
        <v>0.15</v>
      </c>
    </row>
    <row r="33">
      <c r="A33" s="129" t="s">
        <v>155</v>
      </c>
      <c r="B33" s="130">
        <f>D33*B29</f>
        <v>83749.8475</v>
      </c>
      <c r="C33" s="130"/>
      <c r="D33" s="132">
        <v>0.05</v>
      </c>
      <c r="E33" s="21"/>
      <c r="F33" s="38" t="s">
        <v>273</v>
      </c>
      <c r="G33" s="135">
        <v>0.2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129" t="s">
        <v>156</v>
      </c>
      <c r="B34" s="130">
        <f>sum(B35:B38)</f>
        <v>351749.3595</v>
      </c>
      <c r="C34" s="130">
        <f>B34/B10</f>
        <v>698.775</v>
      </c>
      <c r="D34" s="132">
        <v>0.1</v>
      </c>
      <c r="E34" s="21"/>
      <c r="G34" s="132">
        <f>SUM(G28:G33)</f>
        <v>1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47" t="s">
        <v>26</v>
      </c>
      <c r="B35" s="9">
        <f t="shared" ref="B35:B38" si="4">D35*$B$29</f>
        <v>167499.695</v>
      </c>
      <c r="C35" s="46">
        <f t="shared" ref="C35:C38" si="5">$C$30*D35</f>
        <v>275</v>
      </c>
      <c r="D35" s="135">
        <v>0.1</v>
      </c>
    </row>
    <row r="36">
      <c r="A36" s="47" t="s">
        <v>51</v>
      </c>
      <c r="B36" s="9">
        <f t="shared" si="4"/>
        <v>83749.8475</v>
      </c>
      <c r="C36" s="46">
        <f t="shared" si="5"/>
        <v>137.5</v>
      </c>
      <c r="D36" s="135">
        <v>0.05</v>
      </c>
      <c r="F36" s="38"/>
    </row>
    <row r="37">
      <c r="A37" s="47" t="s">
        <v>28</v>
      </c>
      <c r="B37" s="9">
        <f t="shared" si="4"/>
        <v>50249.9085</v>
      </c>
      <c r="C37" s="46">
        <f t="shared" si="5"/>
        <v>82.5</v>
      </c>
      <c r="D37" s="135">
        <v>0.03</v>
      </c>
    </row>
    <row r="38">
      <c r="A38" s="47" t="s">
        <v>29</v>
      </c>
      <c r="B38" s="9">
        <f t="shared" si="4"/>
        <v>50249.9085</v>
      </c>
      <c r="C38" s="46">
        <f t="shared" si="5"/>
        <v>82.5</v>
      </c>
      <c r="D38" s="135">
        <v>0.03</v>
      </c>
    </row>
    <row r="39">
      <c r="A39" s="47"/>
      <c r="B39" s="9"/>
      <c r="C39" s="46"/>
      <c r="D39" s="135"/>
    </row>
    <row r="40">
      <c r="A40" s="42" t="s">
        <v>31</v>
      </c>
      <c r="B40" s="43">
        <f>B22+B27+B28+B29+B33+B34</f>
        <v>2728475.557</v>
      </c>
      <c r="C40" s="43">
        <f>B40/B10</f>
        <v>5420.30982</v>
      </c>
      <c r="D40" s="136">
        <f>B40/B19</f>
        <v>0.6022566466</v>
      </c>
    </row>
    <row r="41">
      <c r="C41" s="44"/>
      <c r="D41" s="44"/>
    </row>
    <row r="42">
      <c r="A42" s="37" t="s">
        <v>160</v>
      </c>
      <c r="B42" s="40" t="s">
        <v>161</v>
      </c>
      <c r="C42" s="40" t="s">
        <v>162</v>
      </c>
      <c r="D42" s="41"/>
    </row>
    <row r="43">
      <c r="A43" s="137" t="str">
        <f t="shared" ref="A43:A46" si="6">A16</f>
        <v>I. Villa sale (without licence)</v>
      </c>
      <c r="B43" s="138">
        <f t="shared" ref="B43:B46" si="7">B16-$B$40</f>
        <v>40114.443</v>
      </c>
      <c r="C43" s="135">
        <f t="shared" ref="C43:C46" si="8">B43/B16</f>
        <v>0.01448912371</v>
      </c>
      <c r="D43" s="8"/>
      <c r="E43" s="9"/>
      <c r="F43" s="139"/>
      <c r="G43" s="11"/>
    </row>
    <row r="44">
      <c r="A44" s="137" t="str">
        <f t="shared" si="6"/>
        <v>II. Villa sale (with licence)</v>
      </c>
      <c r="B44" s="138">
        <f t="shared" si="7"/>
        <v>543494.443</v>
      </c>
      <c r="C44" s="135">
        <f t="shared" si="8"/>
        <v>0.1661061816</v>
      </c>
      <c r="D44" s="8"/>
      <c r="E44" s="9"/>
      <c r="F44" s="139"/>
      <c r="G44" s="11"/>
    </row>
    <row r="45">
      <c r="A45" s="137" t="str">
        <f t="shared" si="6"/>
        <v>III. Villa sale (construction started)</v>
      </c>
      <c r="B45" s="138">
        <f t="shared" si="7"/>
        <v>1046874.443</v>
      </c>
      <c r="C45" s="135">
        <f t="shared" si="8"/>
        <v>0.2772920241</v>
      </c>
      <c r="D45" s="8"/>
      <c r="E45" s="9"/>
      <c r="F45" s="139"/>
      <c r="G45" s="11"/>
    </row>
    <row r="46">
      <c r="A46" s="137" t="str">
        <f t="shared" si="6"/>
        <v>IV. Villa sale (construction finalized)</v>
      </c>
      <c r="B46" s="138">
        <f t="shared" si="7"/>
        <v>1801944.443</v>
      </c>
      <c r="C46" s="135">
        <f t="shared" si="8"/>
        <v>0.3977433534</v>
      </c>
      <c r="D46" s="8"/>
      <c r="E46" s="9"/>
      <c r="F46" s="139"/>
      <c r="G46" s="11"/>
    </row>
    <row r="48">
      <c r="A48" s="37" t="s">
        <v>163</v>
      </c>
      <c r="B48" s="40" t="s">
        <v>98</v>
      </c>
      <c r="C48" s="40" t="s">
        <v>164</v>
      </c>
      <c r="D48" s="41"/>
    </row>
    <row r="49">
      <c r="A49" s="1" t="s">
        <v>165</v>
      </c>
      <c r="B49" s="138">
        <f>B19</f>
        <v>4530420</v>
      </c>
      <c r="C49" s="140">
        <f>B49/B49</f>
        <v>1</v>
      </c>
    </row>
    <row r="50">
      <c r="A50" s="1" t="s">
        <v>166</v>
      </c>
      <c r="B50" s="138">
        <f>B40</f>
        <v>2728475.557</v>
      </c>
      <c r="C50" s="140">
        <f t="shared" ref="C50:C51" si="9">B50/$B$49</f>
        <v>0.6022566466</v>
      </c>
    </row>
    <row r="51">
      <c r="A51" s="2" t="s">
        <v>167</v>
      </c>
      <c r="B51" s="141">
        <f>B49-B50</f>
        <v>1801944.443</v>
      </c>
      <c r="C51" s="142">
        <f t="shared" si="9"/>
        <v>0.3977433534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3">
      <c r="A53" s="1" t="s">
        <v>168</v>
      </c>
      <c r="B53" s="138">
        <f>C53*$B$49</f>
        <v>181216.8</v>
      </c>
      <c r="C53" s="5">
        <v>0.04</v>
      </c>
    </row>
    <row r="54">
      <c r="A54" s="2" t="s">
        <v>169</v>
      </c>
      <c r="B54" s="141">
        <f>B51-B53</f>
        <v>1620727.643</v>
      </c>
      <c r="C54" s="142">
        <f>B54/$B$49</f>
        <v>0.3577433534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6">
      <c r="A56" s="1" t="s">
        <v>170</v>
      </c>
      <c r="B56" s="138">
        <f>C56*$B$49</f>
        <v>226521</v>
      </c>
      <c r="C56" s="5">
        <v>0.05</v>
      </c>
    </row>
    <row r="57">
      <c r="A57" s="2" t="s">
        <v>171</v>
      </c>
      <c r="B57" s="141">
        <f>B54-B56</f>
        <v>1394206.643</v>
      </c>
      <c r="C57" s="142">
        <f>B57/$B$49</f>
        <v>0.3077433534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9">
      <c r="A59" s="1" t="s">
        <v>172</v>
      </c>
      <c r="B59" s="138">
        <f>D59*B51</f>
        <v>450486.1108</v>
      </c>
      <c r="C59" s="5">
        <f>B59/B49</f>
        <v>0.09943583834</v>
      </c>
      <c r="D59" s="143">
        <v>0.25</v>
      </c>
      <c r="E59" s="144" t="s">
        <v>173</v>
      </c>
    </row>
    <row r="60">
      <c r="A60" s="2" t="s">
        <v>174</v>
      </c>
      <c r="B60" s="141">
        <f>B57-B59</f>
        <v>943720.5323</v>
      </c>
      <c r="C60" s="142">
        <f>B60/$B$49</f>
        <v>0.208307515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2">
      <c r="A62" s="37" t="s">
        <v>274</v>
      </c>
      <c r="B62" s="40"/>
      <c r="C62" s="41"/>
      <c r="D62" s="41"/>
    </row>
    <row r="63">
      <c r="A63" s="1" t="s">
        <v>112</v>
      </c>
      <c r="B63" s="138">
        <f>B22+B27+B28+B33+B34</f>
        <v>1053478.607</v>
      </c>
    </row>
    <row r="64">
      <c r="A64" s="1" t="s">
        <v>275</v>
      </c>
      <c r="B64" s="138">
        <f>B60</f>
        <v>943720.5323</v>
      </c>
    </row>
    <row r="65">
      <c r="A65" s="2" t="s">
        <v>183</v>
      </c>
      <c r="B65" s="145">
        <f>B64/B63</f>
        <v>0.8958136653</v>
      </c>
    </row>
    <row r="67">
      <c r="A67" s="37" t="s">
        <v>177</v>
      </c>
      <c r="B67" s="40" t="s">
        <v>98</v>
      </c>
      <c r="C67" s="40" t="s">
        <v>142</v>
      </c>
      <c r="D67" s="41"/>
    </row>
    <row r="68">
      <c r="A68" s="1" t="s">
        <v>178</v>
      </c>
      <c r="B68" s="138">
        <f>B49</f>
        <v>4530420</v>
      </c>
    </row>
    <row r="69">
      <c r="A69" s="1" t="s">
        <v>179</v>
      </c>
      <c r="B69" s="138">
        <f>B50+B53+B56</f>
        <v>3136213.357</v>
      </c>
    </row>
    <row r="70">
      <c r="A70" s="1" t="s">
        <v>180</v>
      </c>
      <c r="B70" s="138">
        <f>B60</f>
        <v>943720.5323</v>
      </c>
    </row>
    <row r="71">
      <c r="A71" s="1" t="s">
        <v>181</v>
      </c>
      <c r="B71" s="138">
        <f>sum(B72:B73)</f>
        <v>1997199.139</v>
      </c>
    </row>
    <row r="72">
      <c r="A72" s="47" t="s">
        <v>112</v>
      </c>
      <c r="B72" s="138">
        <f>B22+B27+B28+B33+B34</f>
        <v>1053478.607</v>
      </c>
    </row>
    <row r="73">
      <c r="A73" s="47" t="s">
        <v>182</v>
      </c>
      <c r="B73" s="138">
        <f>B70</f>
        <v>943720.5323</v>
      </c>
    </row>
    <row r="74">
      <c r="A74" s="1" t="s">
        <v>183</v>
      </c>
      <c r="B74" s="145">
        <f>B70/B72</f>
        <v>0.8958136653</v>
      </c>
    </row>
    <row r="75">
      <c r="A75" s="1" t="s">
        <v>184</v>
      </c>
      <c r="B75" s="142">
        <f>IRR(B76:B78)</f>
        <v>0.3768854946</v>
      </c>
    </row>
    <row r="76">
      <c r="A76" s="1">
        <v>2026.0</v>
      </c>
      <c r="B76" s="138">
        <f>-(B22+B27+B33+B34)</f>
        <v>-1053478.607</v>
      </c>
      <c r="C76" s="144" t="s">
        <v>185</v>
      </c>
    </row>
    <row r="77">
      <c r="A77" s="1">
        <v>2027.0</v>
      </c>
      <c r="B77" s="1">
        <v>0.0</v>
      </c>
      <c r="C77" s="144" t="s">
        <v>186</v>
      </c>
    </row>
    <row r="78">
      <c r="A78" s="1">
        <v>2028.0</v>
      </c>
      <c r="B78" s="138">
        <f>B71</f>
        <v>1997199.139</v>
      </c>
      <c r="C78" s="144" t="s">
        <v>187</v>
      </c>
    </row>
  </sheetData>
  <drawing r:id="rId1"/>
</worksheet>
</file>